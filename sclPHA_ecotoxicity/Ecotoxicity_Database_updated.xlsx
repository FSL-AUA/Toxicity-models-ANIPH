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dIn4_\Downloads\"/>
    </mc:Choice>
  </mc:AlternateContent>
  <xr:revisionPtr revIDLastSave="0" documentId="13_ncr:1_{50E847EE-09DF-4637-AEE2-F0E3860F2A4E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Polymer_info" sheetId="1" r:id="rId1"/>
    <sheet name="Ecotoxicity_Inputs" sheetId="2" r:id="rId2"/>
    <sheet name="Ecotoxicity_Outputs" sheetId="5" r:id="rId3"/>
    <sheet name="Metadata" sheetId="3" r:id="rId4"/>
    <sheet name="Info" sheetId="4" r:id="rId5"/>
  </sheets>
  <definedNames>
    <definedName name="_xlnm._FilterDatabase" localSheetId="1" hidden="1">Ecotoxicity_Inputs!$A$1:$P$100</definedName>
    <definedName name="_xlnm._FilterDatabase" localSheetId="2" hidden="1">Ecotoxicity_Outputs!$A$1:$AH$1</definedName>
    <definedName name="_xlnm._FilterDatabase" localSheetId="0" hidden="1">Polymer_info!$A$1:$QT$1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1" l="1"/>
  <c r="I62" i="1"/>
  <c r="I63" i="1"/>
  <c r="I64" i="1"/>
  <c r="I65" i="1"/>
  <c r="I66" i="1"/>
  <c r="I67" i="1"/>
  <c r="I68" i="1"/>
  <c r="I69" i="1"/>
  <c r="I70" i="1"/>
  <c r="I71" i="1"/>
  <c r="I60" i="1"/>
  <c r="K23" i="1"/>
  <c r="K24" i="1"/>
  <c r="K25" i="1"/>
  <c r="K26" i="1"/>
  <c r="K27" i="1"/>
  <c r="K28" i="1"/>
  <c r="K29" i="1"/>
  <c r="K30" i="1"/>
  <c r="K22" i="1"/>
  <c r="K21" i="1"/>
</calcChain>
</file>

<file path=xl/sharedStrings.xml><?xml version="1.0" encoding="utf-8"?>
<sst xmlns="http://schemas.openxmlformats.org/spreadsheetml/2006/main" count="1605" uniqueCount="268">
  <si>
    <t>Study_id</t>
  </si>
  <si>
    <t>Instance</t>
  </si>
  <si>
    <t>Monomer_A</t>
  </si>
  <si>
    <t>Monomer_B</t>
  </si>
  <si>
    <t>Monomer_C</t>
  </si>
  <si>
    <t>3HB_ratio</t>
  </si>
  <si>
    <t>3HV_ratio</t>
  </si>
  <si>
    <t>4HV_ratio</t>
  </si>
  <si>
    <t>Mw</t>
  </si>
  <si>
    <t>Units_Mw</t>
  </si>
  <si>
    <t>Mn</t>
  </si>
  <si>
    <t>Units_Mn</t>
  </si>
  <si>
    <t>PDI</t>
  </si>
  <si>
    <t>Shape</t>
  </si>
  <si>
    <t>Diameter</t>
  </si>
  <si>
    <t>Diameter_Units</t>
  </si>
  <si>
    <t>Length</t>
  </si>
  <si>
    <t>Units_Length</t>
  </si>
  <si>
    <t>Thickness</t>
  </si>
  <si>
    <t>Units_Thickness</t>
  </si>
  <si>
    <t>Zeta_Potential</t>
  </si>
  <si>
    <t>Units_Zeta_Potential</t>
  </si>
  <si>
    <t>Additive1</t>
  </si>
  <si>
    <t>Additive1_Name</t>
  </si>
  <si>
    <t>Additive1_Percentage</t>
  </si>
  <si>
    <t>Additive1_Use</t>
  </si>
  <si>
    <t>Additive2_Name</t>
  </si>
  <si>
    <t>Additive2_Percentage</t>
  </si>
  <si>
    <t>Additive2_Use</t>
  </si>
  <si>
    <t>Additive3_Name</t>
  </si>
  <si>
    <t>Additive3_Percentage</t>
  </si>
  <si>
    <t>Additive3_Use</t>
  </si>
  <si>
    <t>Polymer_Percentage</t>
  </si>
  <si>
    <t>3HB</t>
  </si>
  <si>
    <t>Nanoparticles</t>
  </si>
  <si>
    <t>nm</t>
  </si>
  <si>
    <t>No</t>
  </si>
  <si>
    <t>3HV</t>
  </si>
  <si>
    <t>Granules</t>
  </si>
  <si>
    <t>mm</t>
  </si>
  <si>
    <t>g/mol</t>
  </si>
  <si>
    <t>Film</t>
  </si>
  <si>
    <t>Yes</t>
  </si>
  <si>
    <t>PHA</t>
  </si>
  <si>
    <t>Plasticizer</t>
  </si>
  <si>
    <t>GS_L</t>
  </si>
  <si>
    <t xml:space="preserve">Natural_Antioxidant </t>
  </si>
  <si>
    <t>Joncryl_ADR_4468</t>
  </si>
  <si>
    <t>Chain_Extender</t>
  </si>
  <si>
    <t>Spherical</t>
  </si>
  <si>
    <t>μm</t>
  </si>
  <si>
    <t>4HV</t>
  </si>
  <si>
    <t>PBAT</t>
  </si>
  <si>
    <t>Polymer_Matrix</t>
  </si>
  <si>
    <t>a_PHB</t>
  </si>
  <si>
    <t>Flexibilizer</t>
  </si>
  <si>
    <t>PLLA</t>
  </si>
  <si>
    <t>Structural</t>
  </si>
  <si>
    <t>mV</t>
  </si>
  <si>
    <t>Microparticles</t>
  </si>
  <si>
    <t>Docetaxel</t>
  </si>
  <si>
    <t>Drug</t>
  </si>
  <si>
    <t>Species_Name</t>
  </si>
  <si>
    <t>Species_Group</t>
  </si>
  <si>
    <t>Initial_Organism_Age</t>
  </si>
  <si>
    <t>Units_Initial_Organism_Age</t>
  </si>
  <si>
    <t>Exposure_type</t>
  </si>
  <si>
    <t>Media_type</t>
  </si>
  <si>
    <t>Test_location</t>
  </si>
  <si>
    <t>Tested_Concentration</t>
  </si>
  <si>
    <t>Units_Tested_Concentration</t>
  </si>
  <si>
    <t>Observation_Period</t>
  </si>
  <si>
    <t>Units_Observation_Period</t>
  </si>
  <si>
    <t>Mouse</t>
  </si>
  <si>
    <t>Air_Breathing_Animals</t>
  </si>
  <si>
    <t>Orally</t>
  </si>
  <si>
    <t>Lab</t>
  </si>
  <si>
    <t>mg/kg</t>
  </si>
  <si>
    <t>hours</t>
  </si>
  <si>
    <t>Acute</t>
  </si>
  <si>
    <t>Hydra_Viridissima</t>
  </si>
  <si>
    <t>Aquatic_Organisms</t>
  </si>
  <si>
    <t>weeks</t>
  </si>
  <si>
    <t>Waterborne</t>
  </si>
  <si>
    <t>Artificial_Freshwater</t>
  </si>
  <si>
    <t>mg/L</t>
  </si>
  <si>
    <t>days</t>
  </si>
  <si>
    <t>Eisenia_Andrei</t>
  </si>
  <si>
    <t>Artificial_Soil</t>
  </si>
  <si>
    <t>g/kg</t>
  </si>
  <si>
    <t>Chronic</t>
  </si>
  <si>
    <t>Sinapis_Alba_L</t>
  </si>
  <si>
    <t>Terrestrial_Plant</t>
  </si>
  <si>
    <t>Soil</t>
  </si>
  <si>
    <t>Standard_soil_with_5_compost</t>
  </si>
  <si>
    <t>Standard_soil_with_10_compost</t>
  </si>
  <si>
    <t>Paracentrotus_Lividus_Larvae</t>
  </si>
  <si>
    <t xml:space="preserve">Filtered_Natural_Seawater </t>
  </si>
  <si>
    <t>g/L</t>
  </si>
  <si>
    <t>Disinfected_Seawater</t>
  </si>
  <si>
    <t>g</t>
  </si>
  <si>
    <t>Artemia_Franciscana</t>
  </si>
  <si>
    <t>Diluted_biodegraded_natural_seawater</t>
  </si>
  <si>
    <t>ml/L</t>
  </si>
  <si>
    <t>Diluted_biodegraded_synthetic_seawater</t>
  </si>
  <si>
    <t>Zea_Mays</t>
  </si>
  <si>
    <t>Danio_Rerio</t>
  </si>
  <si>
    <t>Egg_water</t>
  </si>
  <si>
    <t>μg/mL</t>
  </si>
  <si>
    <t>Lactuca_Sativa</t>
  </si>
  <si>
    <t>Lycopersicon _Esculentum</t>
  </si>
  <si>
    <t>Lepidium_Sativum</t>
  </si>
  <si>
    <t>Sandy_Soil</t>
  </si>
  <si>
    <t>Hordeum_Vulgare</t>
  </si>
  <si>
    <t>Aliivibrio_Fischeri</t>
  </si>
  <si>
    <t>Artificial_Seawater</t>
  </si>
  <si>
    <t>minutes</t>
  </si>
  <si>
    <t>Rhodomonas_Salina</t>
  </si>
  <si>
    <t>Autoclaved_Seawater</t>
  </si>
  <si>
    <t xml:space="preserve">Paracentrotus_Lividus </t>
  </si>
  <si>
    <t>Mytilus_Galloprovincialis</t>
  </si>
  <si>
    <t xml:space="preserve">Filtered_Seawater </t>
  </si>
  <si>
    <t>Acartia_Tonsa</t>
  </si>
  <si>
    <t>Paracentrotus_Lividus</t>
  </si>
  <si>
    <t>Controlled_Mesocosm_System</t>
  </si>
  <si>
    <t>Idotea_Balthica_Basteri</t>
  </si>
  <si>
    <t>Months</t>
  </si>
  <si>
    <t xml:space="preserve">Lemna_Minor </t>
  </si>
  <si>
    <t>Steinberg_medium</t>
  </si>
  <si>
    <t>Filtered_Seawater</t>
  </si>
  <si>
    <t xml:space="preserve">Potting_Substrate </t>
  </si>
  <si>
    <t xml:space="preserve">g/g </t>
  </si>
  <si>
    <t>Lycopersicon_Esculentum</t>
  </si>
  <si>
    <t xml:space="preserve">Anabaena_Sp. </t>
  </si>
  <si>
    <t>Freshwater_simulation</t>
  </si>
  <si>
    <t>Chlamydomonas_Reinhardtii</t>
  </si>
  <si>
    <t>Daphnia_Magna</t>
  </si>
  <si>
    <t>Neonates</t>
  </si>
  <si>
    <t>Freshwater</t>
  </si>
  <si>
    <t>Rattus_norvegicus</t>
  </si>
  <si>
    <t>mg/kg/day</t>
  </si>
  <si>
    <t>IV</t>
  </si>
  <si>
    <t>EC_10</t>
  </si>
  <si>
    <t>EC_10_Units</t>
  </si>
  <si>
    <t>EC_50</t>
  </si>
  <si>
    <t>EC_50_Units</t>
  </si>
  <si>
    <t>Toxic_Units</t>
  </si>
  <si>
    <t>LC_50</t>
  </si>
  <si>
    <t>LC_50_Units</t>
  </si>
  <si>
    <t>LD_50</t>
  </si>
  <si>
    <t>LD_50_Units</t>
  </si>
  <si>
    <t>Mortality_Percentage</t>
  </si>
  <si>
    <t>Body_Mass_Change_Percentage</t>
  </si>
  <si>
    <t>Size_Increase</t>
  </si>
  <si>
    <t>Size_Increase_Units</t>
  </si>
  <si>
    <t>Number_of Juveniles</t>
  </si>
  <si>
    <t>Number_of_Cocoons</t>
  </si>
  <si>
    <t>SGI_Percentage</t>
  </si>
  <si>
    <t>Survival_rate_percentage</t>
  </si>
  <si>
    <t>Normal_Plutei_Percentage</t>
  </si>
  <si>
    <t>SGR</t>
  </si>
  <si>
    <t>SGR_Units</t>
  </si>
  <si>
    <t>WG</t>
  </si>
  <si>
    <t>WG_Units</t>
  </si>
  <si>
    <t>Plant_Height</t>
  </si>
  <si>
    <t>Plant_Height_Units</t>
  </si>
  <si>
    <t>Shoot_Biomass</t>
  </si>
  <si>
    <t>Shoot_Biomass_Units</t>
  </si>
  <si>
    <t>Foliar_C_N_ratio</t>
  </si>
  <si>
    <t>Plant_Growth</t>
  </si>
  <si>
    <t>Toxicity_Grade</t>
  </si>
  <si>
    <t>Toxicity_Classification</t>
  </si>
  <si>
    <t>Moderately_Toxic</t>
  </si>
  <si>
    <t>Toxic</t>
  </si>
  <si>
    <t>Non_Toxic</t>
  </si>
  <si>
    <t>%/day</t>
  </si>
  <si>
    <t>%</t>
  </si>
  <si>
    <t>cm</t>
  </si>
  <si>
    <t>g/plant</t>
  </si>
  <si>
    <t>49.1</t>
  </si>
  <si>
    <t>mg</t>
  </si>
  <si>
    <t>Author</t>
  </si>
  <si>
    <t>Date</t>
  </si>
  <si>
    <t>Title</t>
  </si>
  <si>
    <t>Doi</t>
  </si>
  <si>
    <t>Ghafil et al.</t>
  </si>
  <si>
    <t xml:space="preserve">Antioxidant Activity and Lethal 50 Doses of Polyhydroxybutyrate Nanoparticles (PHB-NPs) </t>
  </si>
  <si>
    <t>Santos et al.</t>
  </si>
  <si>
    <t xml:space="preserve">Short- and long-term toxicity of nano-sized polyhydroxybutyrate to the freshwater cnidarian Hydra viridissima </t>
  </si>
  <si>
    <t>https://doi.org/10.1016/j.scitotenv.2024.170282</t>
  </si>
  <si>
    <t>Liwarska-Bizukojc et al.</t>
  </si>
  <si>
    <t>Effect of bio-based microplastics on earthworms Eisenia andrei</t>
  </si>
  <si>
    <t>http://dx.doi.org/10.1016/j.scitotenv.2023.165423</t>
  </si>
  <si>
    <t>Vostrejs et al.</t>
  </si>
  <si>
    <t>Active biodegradable packaging films modified with grape seeds lignin</t>
  </si>
  <si>
    <t>10.1039/d0ra04074f</t>
  </si>
  <si>
    <t>Uribe-Echeverría et al.</t>
  </si>
  <si>
    <t xml:space="preserve">Acute toxicity of bioplastic leachates to Paracentrotus lividus sea urchin larvae </t>
  </si>
  <si>
    <t xml:space="preserve">https://doi.org/10.1016/j.marenvres.2022.105605 </t>
  </si>
  <si>
    <t xml:space="preserve">Lv et al. </t>
  </si>
  <si>
    <t>Impacts of polyhydroxybutyrate (PHB) microplastic exposure on physiology and metabolic profiles of Litopenaeus vannamei</t>
  </si>
  <si>
    <t>https://doi.org/10.1016/j.scitotenv.2024.175588</t>
  </si>
  <si>
    <t>Tanadchangsaeng et al.</t>
  </si>
  <si>
    <t>Evaluation of Biodegradabilities of Biosynthetic Polyhydroxyalkanoates in Thailand Seawater and Toxicity Assessment of Environmental Safety Levels</t>
  </si>
  <si>
    <t>https://doi.org/10.3390/polym14030428</t>
  </si>
  <si>
    <t>Brown et al.</t>
  </si>
  <si>
    <t xml:space="preserve">Bioplastic (PHBV) addition to soil alters microbial community structure and negatively affects plant-microbial metabolic functioning in maize </t>
  </si>
  <si>
    <t>https://doi.org/10.1016/j.jhazmat.2022.129959</t>
  </si>
  <si>
    <t>Mourão et al.</t>
  </si>
  <si>
    <t>Characterization and Biotechnological Potential of Intracellular Polyhydroxybutyrate by Stigeoclonium sp. B23 Using Cassava Peel as Carbon Source_x000D_</t>
  </si>
  <si>
    <t>https://doi.org/10.3390/polym13050687</t>
  </si>
  <si>
    <t>Serrano-Ruíz et al.</t>
  </si>
  <si>
    <t>Application of an in vitro plant ecotoxicity test to unused biodegradable mulches</t>
  </si>
  <si>
    <t>https://doi.org/10.1016/j.polymdegradstab.2018.10.016</t>
  </si>
  <si>
    <t>Rychter et al.</t>
  </si>
  <si>
    <t>Environmental Degradation of Polyester Blends Containing Atactic Poly(3-hydroxybutyrate). Biodegradation in Soil and Ecotoxicological Impact</t>
  </si>
  <si>
    <t>10.1021/bm060708r</t>
  </si>
  <si>
    <t>Laranjeiro et al.</t>
  </si>
  <si>
    <t xml:space="preserve">Comparative assessment of the acute toxicity of commercial bio-based polymer leachates on marine plankton </t>
  </si>
  <si>
    <t xml:space="preserve">https://doi.org/10.1016/j.scitotenv.2024.174403 </t>
  </si>
  <si>
    <t>Viel et al.</t>
  </si>
  <si>
    <t>Effect of biodegradable polymers upon grazing activity of the sea urchin Paracentrotus lividus (Lmk) revealed by morphological, histological and molecular analyses</t>
  </si>
  <si>
    <t xml:space="preserve">https://doi.org/10.1016/j.scitotenv.2024.172586 </t>
  </si>
  <si>
    <t>Amato et al.</t>
  </si>
  <si>
    <t>Effects of biodegradable microplastics on the crustacean isopod Idotea balthica basteri Audouin, 1826</t>
  </si>
  <si>
    <t>https://doi.org/10.1016/j.envpol.2024.124897</t>
  </si>
  <si>
    <t>Prochazkova et al.</t>
  </si>
  <si>
    <t xml:space="preserve">Effects of biodegradable P3HB on the specific growth rate, root length and chlorophyll content of duckweed, Lemna minor </t>
  </si>
  <si>
    <t xml:space="preserve">https://doi.org/10.1016/j.heliyon.2023.e23128 </t>
  </si>
  <si>
    <t>Effects of biodegradable-based microplastics in Paracentrotus lividus Lmk embryos: Morphological and gene expression analysis</t>
  </si>
  <si>
    <t xml:space="preserve">https://doi.org/10.1016/j.envpol.2023.122129 </t>
  </si>
  <si>
    <t>Serrano-Ruiz et al.</t>
  </si>
  <si>
    <t>Impact of buried debris from agricultural biodegradable plastic mulches on two horticultural crop plants: Tomato and lettuce</t>
  </si>
  <si>
    <t>http://dx.doi.org/10.1016/j.scitotenv.2022.159167</t>
  </si>
  <si>
    <t>González-Pleiter</t>
  </si>
  <si>
    <t>Secondary nanoplastics released from a biodegradable microplastic severely impact freshwater environments</t>
  </si>
  <si>
    <t>10.1039/c8en01427b</t>
  </si>
  <si>
    <t>Savva et al.</t>
  </si>
  <si>
    <t>Sublethal effects of bio-plastic microparticles and their components on the behaviour of Daphnia magna</t>
  </si>
  <si>
    <t>https://doi.org/10.1016/j.envres.2023.116775</t>
  </si>
  <si>
    <t>Leong et al.</t>
  </si>
  <si>
    <t>Acute and repeated dose 28-day oral toxicity of poly(3-hydroxybutyrate-co_x0002_4-hydroxybutyrate) nanoparticles in Sprague-Daw</t>
  </si>
  <si>
    <t>https://doi.org/10.1016/j.yrtph.2018.03.011</t>
  </si>
  <si>
    <t xml:space="preserve">Vardhan et al. </t>
  </si>
  <si>
    <t>Process optimization and in vivo performance of docetaxel loaded PHBV-TPGS therapeutic vesicles: A synergistic approach</t>
  </si>
  <si>
    <t>https://doi.org/10.1016/j.ijbiomac.2017.10.172</t>
  </si>
  <si>
    <t>Abbreviation</t>
  </si>
  <si>
    <t>Polyhydroxyalkanoates</t>
  </si>
  <si>
    <t>grape seed lignin</t>
  </si>
  <si>
    <t>Specific Growth Rate</t>
  </si>
  <si>
    <t>Weight gain</t>
  </si>
  <si>
    <t>Polybutylene Adipate Terephthalate</t>
  </si>
  <si>
    <t xml:space="preserve"> atactic PHB</t>
  </si>
  <si>
    <t>Exposure_Regime</t>
  </si>
  <si>
    <t>EC_20</t>
  </si>
  <si>
    <t>EC_20_Units</t>
  </si>
  <si>
    <t>Terrestrial_Invertebrate</t>
  </si>
  <si>
    <t>Initial_Organism_Size</t>
  </si>
  <si>
    <t>Units_Initial_Organism_Size</t>
  </si>
  <si>
    <t>3.7</t>
  </si>
  <si>
    <t>%_leachate</t>
  </si>
  <si>
    <t>Litopenaeus_Vannamei</t>
  </si>
  <si>
    <t>Dietary</t>
  </si>
  <si>
    <t>Particle</t>
  </si>
  <si>
    <t>Agricultural_soil</t>
  </si>
  <si>
    <t>Nanoparticle</t>
  </si>
  <si>
    <t>Mulch_extract</t>
  </si>
  <si>
    <t>MS_plant_culture_medium_ME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</si>
</sst>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/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Border="1"/>
    <xf numFmtId="3" fontId="0" fillId="0" borderId="0" xfId="0" applyNumberFormat="1"/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0" fillId="2" borderId="0" xfId="0" applyFill="1" applyAlignment="1">
      <alignment horizontal="center"/>
    </xf>
    <xf numFmtId="3" fontId="0" fillId="0" borderId="4" xfId="0" applyNumberFormat="1" applyBorder="1" applyAlignment="1">
      <alignment horizontal="center" vertical="center"/>
    </xf>
  </cellXfs>
  <cellStyles count="2">
    <cellStyle name="Hyperlink" xfId="1" xr:uid="{00000000-000B-0000-0000-000008000000}"/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polymdegradstab.2018.10.016" TargetMode="External"/><Relationship Id="rId13" Type="http://schemas.openxmlformats.org/officeDocument/2006/relationships/hyperlink" Target="https://doi.org/10.1016/j.envpol.2023.122129" TargetMode="External"/><Relationship Id="rId3" Type="http://schemas.openxmlformats.org/officeDocument/2006/relationships/hyperlink" Target="https://doi.org/10.1016/j.marenvres.2022.105605" TargetMode="External"/><Relationship Id="rId7" Type="http://schemas.openxmlformats.org/officeDocument/2006/relationships/hyperlink" Target="https://doi.org/10.3390/polym13050687" TargetMode="External"/><Relationship Id="rId12" Type="http://schemas.openxmlformats.org/officeDocument/2006/relationships/hyperlink" Target="https://doi.org/10.1016/j.heliyon.2023.e23128" TargetMode="External"/><Relationship Id="rId17" Type="http://schemas.openxmlformats.org/officeDocument/2006/relationships/hyperlink" Target="https://doi.org/10.1016/j.ijbiomac.2017.10.172" TargetMode="External"/><Relationship Id="rId2" Type="http://schemas.openxmlformats.org/officeDocument/2006/relationships/hyperlink" Target="http://dx.doi.org/10.1016/j.scitotenv.2023.165423" TargetMode="External"/><Relationship Id="rId16" Type="http://schemas.openxmlformats.org/officeDocument/2006/relationships/hyperlink" Target="https://doi.org/10.1016/j.yrtph.2018.03.011" TargetMode="External"/><Relationship Id="rId1" Type="http://schemas.openxmlformats.org/officeDocument/2006/relationships/hyperlink" Target="https://doi.org/10.1016/j.scitotenv.2024.170282" TargetMode="External"/><Relationship Id="rId6" Type="http://schemas.openxmlformats.org/officeDocument/2006/relationships/hyperlink" Target="https://doi.org/10.1016/j.jhazmat.2022.129959" TargetMode="External"/><Relationship Id="rId11" Type="http://schemas.openxmlformats.org/officeDocument/2006/relationships/hyperlink" Target="https://doi.org/10.1016/j.envpol.2024.124897" TargetMode="External"/><Relationship Id="rId5" Type="http://schemas.openxmlformats.org/officeDocument/2006/relationships/hyperlink" Target="https://doi.org/10.3390/polym14030428" TargetMode="External"/><Relationship Id="rId15" Type="http://schemas.openxmlformats.org/officeDocument/2006/relationships/hyperlink" Target="https://doi.org/10.1016/j.envres.2023.116775" TargetMode="External"/><Relationship Id="rId10" Type="http://schemas.openxmlformats.org/officeDocument/2006/relationships/hyperlink" Target="https://doi.org/10.1016/j.scitotenv.2024.172586" TargetMode="External"/><Relationship Id="rId4" Type="http://schemas.openxmlformats.org/officeDocument/2006/relationships/hyperlink" Target="https://doi.org/10.1016/j.scitotenv.2024.175588" TargetMode="External"/><Relationship Id="rId9" Type="http://schemas.openxmlformats.org/officeDocument/2006/relationships/hyperlink" Target="https://doi.org/10.1016/j.scitotenv.2024.174403" TargetMode="External"/><Relationship Id="rId14" Type="http://schemas.openxmlformats.org/officeDocument/2006/relationships/hyperlink" Target="http://dx.doi.org/10.1016/j.scitotenv.2022.1591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101"/>
  <sheetViews>
    <sheetView tabSelected="1" workbookViewId="0">
      <pane ySplit="1" topLeftCell="A2" activePane="bottomLeft" state="frozen"/>
      <selection pane="bottomLeft" activeCell="N79" sqref="N79:P80"/>
    </sheetView>
  </sheetViews>
  <sheetFormatPr defaultColWidth="9.109375" defaultRowHeight="14.4" x14ac:dyDescent="0.3"/>
  <cols>
    <col min="1" max="2" width="9.109375" style="3"/>
    <col min="3" max="3" width="12.44140625" style="3" bestFit="1" customWidth="1"/>
    <col min="4" max="4" width="12.33203125" style="3" bestFit="1" customWidth="1"/>
    <col min="5" max="5" width="11.6640625" style="3" bestFit="1" customWidth="1"/>
    <col min="6" max="10" width="9.109375" style="3"/>
    <col min="11" max="11" width="10.44140625" style="3" bestFit="1" customWidth="1"/>
    <col min="12" max="12" width="10.44140625" style="3" customWidth="1"/>
    <col min="13" max="13" width="9.109375" style="3"/>
    <col min="14" max="14" width="17.109375" style="3" bestFit="1" customWidth="1"/>
    <col min="15" max="15" width="9.109375" style="3"/>
    <col min="16" max="16" width="15.44140625" style="3" bestFit="1" customWidth="1"/>
    <col min="17" max="18" width="15.44140625" style="3" customWidth="1"/>
    <col min="19" max="19" width="9.6640625" style="3" bestFit="1" customWidth="1"/>
    <col min="20" max="20" width="15.5546875" style="3" bestFit="1" customWidth="1"/>
    <col min="21" max="21" width="15.5546875" style="3" customWidth="1"/>
    <col min="22" max="22" width="20.33203125" style="3" bestFit="1" customWidth="1"/>
    <col min="23" max="23" width="9.109375" style="3"/>
    <col min="24" max="24" width="16" style="3" bestFit="1" customWidth="1"/>
    <col min="25" max="25" width="21.109375" style="3" bestFit="1" customWidth="1"/>
    <col min="26" max="26" width="14" style="3" bestFit="1" customWidth="1"/>
    <col min="27" max="27" width="16" style="3" bestFit="1" customWidth="1"/>
    <col min="28" max="28" width="21.109375" style="3" bestFit="1" customWidth="1"/>
    <col min="29" max="29" width="18.6640625" style="3" bestFit="1" customWidth="1"/>
    <col min="30" max="30" width="16.6640625" style="3" bestFit="1" customWidth="1"/>
    <col min="31" max="31" width="22.33203125" style="3" bestFit="1" customWidth="1"/>
    <col min="32" max="32" width="14" style="3" customWidth="1"/>
    <col min="33" max="33" width="19.88671875" style="3" bestFit="1" customWidth="1"/>
    <col min="34" max="16384" width="9.109375" style="3"/>
  </cols>
  <sheetData>
    <row r="1" spans="1:462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462" x14ac:dyDescent="0.3">
      <c r="A2" s="3">
        <v>1</v>
      </c>
      <c r="B2" s="3">
        <v>1</v>
      </c>
      <c r="C2" s="3" t="s">
        <v>33</v>
      </c>
      <c r="F2" s="3">
        <v>100</v>
      </c>
      <c r="N2" s="3" t="s">
        <v>34</v>
      </c>
      <c r="O2" s="3">
        <v>21</v>
      </c>
      <c r="P2" s="3" t="s">
        <v>35</v>
      </c>
      <c r="W2" s="3" t="s">
        <v>36</v>
      </c>
      <c r="AG2" s="3">
        <v>100</v>
      </c>
    </row>
    <row r="3" spans="1:462" x14ac:dyDescent="0.3">
      <c r="A3" s="3">
        <v>1</v>
      </c>
      <c r="B3" s="3">
        <v>2</v>
      </c>
      <c r="C3" s="3" t="s">
        <v>33</v>
      </c>
      <c r="F3" s="3">
        <v>100</v>
      </c>
      <c r="N3" s="3" t="s">
        <v>34</v>
      </c>
      <c r="O3" s="3">
        <v>21</v>
      </c>
      <c r="P3" s="3" t="s">
        <v>35</v>
      </c>
      <c r="W3" s="3" t="s">
        <v>36</v>
      </c>
      <c r="AG3" s="3">
        <v>100</v>
      </c>
    </row>
    <row r="4" spans="1:462" x14ac:dyDescent="0.3">
      <c r="A4" s="3">
        <v>1</v>
      </c>
      <c r="B4" s="3">
        <v>3</v>
      </c>
      <c r="C4" s="3" t="s">
        <v>33</v>
      </c>
      <c r="F4" s="3">
        <v>100</v>
      </c>
      <c r="N4" s="3" t="s">
        <v>34</v>
      </c>
      <c r="O4" s="3">
        <v>21</v>
      </c>
      <c r="P4" s="3" t="s">
        <v>35</v>
      </c>
      <c r="W4" s="3" t="s">
        <v>36</v>
      </c>
      <c r="AG4" s="3">
        <v>100</v>
      </c>
    </row>
    <row r="5" spans="1:462" x14ac:dyDescent="0.3">
      <c r="A5" s="3">
        <v>1</v>
      </c>
      <c r="B5" s="3">
        <v>4</v>
      </c>
      <c r="C5" s="3" t="s">
        <v>33</v>
      </c>
      <c r="F5" s="3">
        <v>100</v>
      </c>
      <c r="N5" s="3" t="s">
        <v>34</v>
      </c>
      <c r="O5" s="3">
        <v>21</v>
      </c>
      <c r="P5" s="3" t="s">
        <v>35</v>
      </c>
      <c r="W5" s="3" t="s">
        <v>36</v>
      </c>
      <c r="AG5" s="3">
        <v>100</v>
      </c>
    </row>
    <row r="6" spans="1:462" x14ac:dyDescent="0.3">
      <c r="A6" s="3">
        <v>1</v>
      </c>
      <c r="B6" s="3">
        <v>5</v>
      </c>
      <c r="C6" s="3" t="s">
        <v>33</v>
      </c>
      <c r="F6" s="3">
        <v>100</v>
      </c>
      <c r="N6" s="3" t="s">
        <v>34</v>
      </c>
      <c r="O6" s="3">
        <v>21</v>
      </c>
      <c r="P6" s="3" t="s">
        <v>35</v>
      </c>
      <c r="W6" s="3" t="s">
        <v>36</v>
      </c>
      <c r="AG6" s="3">
        <v>100</v>
      </c>
    </row>
    <row r="7" spans="1:462" x14ac:dyDescent="0.3">
      <c r="A7" s="3">
        <v>1</v>
      </c>
      <c r="B7" s="3">
        <v>6</v>
      </c>
      <c r="C7" s="3" t="s">
        <v>33</v>
      </c>
      <c r="F7" s="3">
        <v>100</v>
      </c>
      <c r="N7" s="3" t="s">
        <v>34</v>
      </c>
      <c r="O7" s="3">
        <v>21</v>
      </c>
      <c r="P7" s="3" t="s">
        <v>35</v>
      </c>
      <c r="W7" s="3" t="s">
        <v>36</v>
      </c>
      <c r="AG7" s="3">
        <v>100</v>
      </c>
    </row>
    <row r="8" spans="1:462" s="5" customFormat="1" x14ac:dyDescent="0.3">
      <c r="A8" s="5">
        <v>2</v>
      </c>
      <c r="B8" s="5">
        <v>1</v>
      </c>
      <c r="C8" s="5" t="s">
        <v>33</v>
      </c>
      <c r="F8" s="5">
        <v>100</v>
      </c>
      <c r="N8" s="5" t="s">
        <v>34</v>
      </c>
      <c r="O8" s="5">
        <v>198.7</v>
      </c>
      <c r="P8" s="5" t="s">
        <v>35</v>
      </c>
      <c r="U8" s="5">
        <v>-18.2</v>
      </c>
      <c r="V8" s="5" t="s">
        <v>58</v>
      </c>
      <c r="W8" s="5" t="s">
        <v>36</v>
      </c>
      <c r="AG8" s="5">
        <v>100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</row>
    <row r="9" spans="1:462" x14ac:dyDescent="0.3">
      <c r="A9" s="3">
        <v>2</v>
      </c>
      <c r="B9" s="3">
        <v>2</v>
      </c>
      <c r="C9" s="3" t="s">
        <v>33</v>
      </c>
      <c r="F9" s="3">
        <v>100</v>
      </c>
      <c r="N9" s="3" t="s">
        <v>34</v>
      </c>
      <c r="O9" s="3">
        <v>198.7</v>
      </c>
      <c r="P9" s="3" t="s">
        <v>35</v>
      </c>
      <c r="U9" s="3">
        <v>-18.2</v>
      </c>
      <c r="V9" s="3" t="s">
        <v>58</v>
      </c>
      <c r="W9" s="3" t="s">
        <v>36</v>
      </c>
      <c r="AG9" s="3">
        <v>100</v>
      </c>
    </row>
    <row r="10" spans="1:462" x14ac:dyDescent="0.3">
      <c r="A10" s="3">
        <v>2</v>
      </c>
      <c r="B10" s="3">
        <v>3</v>
      </c>
      <c r="C10" s="3" t="s">
        <v>33</v>
      </c>
      <c r="F10" s="3">
        <v>100</v>
      </c>
      <c r="N10" s="3" t="s">
        <v>34</v>
      </c>
      <c r="O10" s="3">
        <v>198.7</v>
      </c>
      <c r="P10" s="3" t="s">
        <v>35</v>
      </c>
      <c r="U10" s="3">
        <v>-18.2</v>
      </c>
      <c r="V10" s="3" t="s">
        <v>58</v>
      </c>
      <c r="W10" s="3" t="s">
        <v>36</v>
      </c>
      <c r="AG10" s="3">
        <v>100</v>
      </c>
    </row>
    <row r="11" spans="1:462" x14ac:dyDescent="0.3">
      <c r="A11" s="3">
        <v>2</v>
      </c>
      <c r="B11" s="3">
        <v>4</v>
      </c>
      <c r="C11" s="3" t="s">
        <v>33</v>
      </c>
      <c r="F11" s="3">
        <v>100</v>
      </c>
      <c r="N11" s="3" t="s">
        <v>34</v>
      </c>
      <c r="O11" s="3">
        <v>198.7</v>
      </c>
      <c r="P11" s="3" t="s">
        <v>35</v>
      </c>
      <c r="U11" s="3">
        <v>-18.2</v>
      </c>
      <c r="V11" s="3" t="s">
        <v>58</v>
      </c>
      <c r="W11" s="3" t="s">
        <v>36</v>
      </c>
      <c r="AG11" s="3">
        <v>100</v>
      </c>
    </row>
    <row r="12" spans="1:462" x14ac:dyDescent="0.3">
      <c r="A12" s="3">
        <v>2</v>
      </c>
      <c r="B12" s="3">
        <v>5</v>
      </c>
      <c r="C12" s="3" t="s">
        <v>33</v>
      </c>
      <c r="F12" s="3">
        <v>100</v>
      </c>
      <c r="N12" s="3" t="s">
        <v>34</v>
      </c>
      <c r="O12" s="3">
        <v>198.7</v>
      </c>
      <c r="P12" s="3" t="s">
        <v>35</v>
      </c>
      <c r="U12" s="3">
        <v>-18.2</v>
      </c>
      <c r="V12" s="3" t="s">
        <v>58</v>
      </c>
      <c r="W12" s="3" t="s">
        <v>36</v>
      </c>
      <c r="AG12" s="3">
        <v>100</v>
      </c>
    </row>
    <row r="13" spans="1:462" s="5" customFormat="1" x14ac:dyDescent="0.3">
      <c r="A13" s="5">
        <v>3</v>
      </c>
      <c r="B13" s="5">
        <v>1</v>
      </c>
      <c r="C13" s="5" t="s">
        <v>33</v>
      </c>
      <c r="D13" s="5" t="s">
        <v>37</v>
      </c>
      <c r="N13" s="5" t="s">
        <v>38</v>
      </c>
      <c r="O13" s="5">
        <v>2.5</v>
      </c>
      <c r="P13" s="5" t="s">
        <v>39</v>
      </c>
      <c r="Q13" s="5">
        <v>3</v>
      </c>
      <c r="R13" s="5" t="s">
        <v>39</v>
      </c>
      <c r="W13" s="5" t="s">
        <v>36</v>
      </c>
      <c r="AG13" s="5">
        <v>85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</row>
    <row r="14" spans="1:462" x14ac:dyDescent="0.3">
      <c r="A14" s="3">
        <v>3</v>
      </c>
      <c r="B14" s="3">
        <v>2</v>
      </c>
      <c r="C14" s="3" t="s">
        <v>33</v>
      </c>
      <c r="D14" s="3" t="s">
        <v>37</v>
      </c>
      <c r="N14" s="3" t="s">
        <v>38</v>
      </c>
      <c r="O14" s="3">
        <v>2.5</v>
      </c>
      <c r="P14" s="3" t="s">
        <v>39</v>
      </c>
      <c r="Q14" s="3">
        <v>3</v>
      </c>
      <c r="R14" s="3" t="s">
        <v>39</v>
      </c>
      <c r="W14" s="3" t="s">
        <v>36</v>
      </c>
      <c r="AG14" s="3">
        <v>85</v>
      </c>
    </row>
    <row r="15" spans="1:462" x14ac:dyDescent="0.3">
      <c r="A15" s="3">
        <v>3</v>
      </c>
      <c r="B15" s="3">
        <v>3</v>
      </c>
      <c r="C15" s="3" t="s">
        <v>33</v>
      </c>
      <c r="D15" s="3" t="s">
        <v>37</v>
      </c>
      <c r="N15" s="3" t="s">
        <v>38</v>
      </c>
      <c r="O15" s="3">
        <v>2.5</v>
      </c>
      <c r="P15" s="3" t="s">
        <v>39</v>
      </c>
      <c r="Q15" s="3">
        <v>3</v>
      </c>
      <c r="R15" s="3" t="s">
        <v>39</v>
      </c>
      <c r="W15" s="3" t="s">
        <v>36</v>
      </c>
      <c r="AG15" s="3">
        <v>85</v>
      </c>
    </row>
    <row r="16" spans="1:462" x14ac:dyDescent="0.3">
      <c r="A16" s="3">
        <v>3</v>
      </c>
      <c r="B16" s="3">
        <v>4</v>
      </c>
      <c r="C16" s="3" t="s">
        <v>33</v>
      </c>
      <c r="D16" s="3" t="s">
        <v>37</v>
      </c>
      <c r="N16" s="3" t="s">
        <v>38</v>
      </c>
      <c r="O16" s="3">
        <v>2.5</v>
      </c>
      <c r="P16" s="3" t="s">
        <v>39</v>
      </c>
      <c r="Q16" s="3">
        <v>3</v>
      </c>
      <c r="R16" s="3" t="s">
        <v>39</v>
      </c>
      <c r="W16" s="3" t="s">
        <v>36</v>
      </c>
      <c r="AG16" s="3">
        <v>85</v>
      </c>
    </row>
    <row r="17" spans="1:462" x14ac:dyDescent="0.3">
      <c r="A17" s="3">
        <v>3</v>
      </c>
      <c r="B17" s="3">
        <v>5</v>
      </c>
      <c r="C17" s="3" t="s">
        <v>33</v>
      </c>
      <c r="D17" s="3" t="s">
        <v>37</v>
      </c>
      <c r="N17" s="3" t="s">
        <v>38</v>
      </c>
      <c r="O17" s="3">
        <v>2.5</v>
      </c>
      <c r="P17" s="3" t="s">
        <v>39</v>
      </c>
      <c r="Q17" s="3">
        <v>3</v>
      </c>
      <c r="R17" s="3" t="s">
        <v>39</v>
      </c>
      <c r="W17" s="3" t="s">
        <v>36</v>
      </c>
      <c r="AG17" s="3">
        <v>85</v>
      </c>
    </row>
    <row r="18" spans="1:462" x14ac:dyDescent="0.3">
      <c r="A18" s="3">
        <v>3</v>
      </c>
      <c r="B18" s="3">
        <v>6</v>
      </c>
      <c r="C18" s="3" t="s">
        <v>33</v>
      </c>
      <c r="D18" s="3" t="s">
        <v>37</v>
      </c>
      <c r="N18" s="3" t="s">
        <v>38</v>
      </c>
      <c r="O18" s="3">
        <v>2.5</v>
      </c>
      <c r="P18" s="3" t="s">
        <v>39</v>
      </c>
      <c r="Q18" s="3">
        <v>3</v>
      </c>
      <c r="R18" s="3" t="s">
        <v>39</v>
      </c>
      <c r="W18" s="3" t="s">
        <v>36</v>
      </c>
      <c r="AG18" s="3">
        <v>85</v>
      </c>
    </row>
    <row r="19" spans="1:462" x14ac:dyDescent="0.3">
      <c r="A19" s="3">
        <v>3</v>
      </c>
      <c r="B19" s="3">
        <v>7</v>
      </c>
      <c r="C19" s="3" t="s">
        <v>33</v>
      </c>
      <c r="D19" s="3" t="s">
        <v>37</v>
      </c>
      <c r="N19" s="3" t="s">
        <v>38</v>
      </c>
      <c r="O19" s="3">
        <v>2.5</v>
      </c>
      <c r="P19" s="3" t="s">
        <v>39</v>
      </c>
      <c r="Q19" s="3">
        <v>3</v>
      </c>
      <c r="R19" s="3" t="s">
        <v>39</v>
      </c>
      <c r="W19" s="3" t="s">
        <v>36</v>
      </c>
      <c r="AG19" s="3">
        <v>85</v>
      </c>
    </row>
    <row r="20" spans="1:462" x14ac:dyDescent="0.3">
      <c r="A20" s="3">
        <v>3</v>
      </c>
      <c r="B20" s="3">
        <v>8</v>
      </c>
      <c r="C20" s="3" t="s">
        <v>33</v>
      </c>
      <c r="D20" s="3" t="s">
        <v>37</v>
      </c>
      <c r="N20" s="3" t="s">
        <v>38</v>
      </c>
      <c r="O20" s="3">
        <v>2.5</v>
      </c>
      <c r="P20" s="3" t="s">
        <v>39</v>
      </c>
      <c r="Q20" s="3">
        <v>3</v>
      </c>
      <c r="R20" s="3" t="s">
        <v>39</v>
      </c>
      <c r="W20" s="3" t="s">
        <v>36</v>
      </c>
      <c r="AG20" s="3">
        <v>85</v>
      </c>
    </row>
    <row r="21" spans="1:462" s="5" customFormat="1" x14ac:dyDescent="0.3">
      <c r="A21" s="5">
        <v>4</v>
      </c>
      <c r="B21" s="5">
        <v>1</v>
      </c>
      <c r="C21" s="5" t="s">
        <v>33</v>
      </c>
      <c r="F21" s="5">
        <v>100</v>
      </c>
      <c r="I21" s="5">
        <v>350200</v>
      </c>
      <c r="J21" s="5" t="s">
        <v>40</v>
      </c>
      <c r="K21" s="13">
        <f t="shared" ref="K21:K30" si="0">I21/M21</f>
        <v>299316.23931623931</v>
      </c>
      <c r="L21" s="13"/>
      <c r="M21" s="5">
        <v>1.17</v>
      </c>
      <c r="N21" s="5" t="s">
        <v>41</v>
      </c>
      <c r="S21" s="5">
        <v>0.15</v>
      </c>
      <c r="T21" s="5" t="s">
        <v>39</v>
      </c>
      <c r="W21" s="5" t="s">
        <v>36</v>
      </c>
      <c r="AG21" s="5">
        <v>100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</row>
    <row r="22" spans="1:462" x14ac:dyDescent="0.3">
      <c r="A22" s="3">
        <v>4</v>
      </c>
      <c r="B22" s="3">
        <v>2</v>
      </c>
      <c r="C22" s="3" t="s">
        <v>33</v>
      </c>
      <c r="F22" s="3">
        <v>100</v>
      </c>
      <c r="I22" s="3">
        <v>350200</v>
      </c>
      <c r="J22" s="3" t="s">
        <v>40</v>
      </c>
      <c r="K22" s="12">
        <f t="shared" si="0"/>
        <v>299316.23931623931</v>
      </c>
      <c r="L22" s="12"/>
      <c r="M22" s="3">
        <v>1.17</v>
      </c>
      <c r="N22" s="3" t="s">
        <v>41</v>
      </c>
      <c r="S22" s="3">
        <v>0.15</v>
      </c>
      <c r="T22" s="3" t="s">
        <v>39</v>
      </c>
      <c r="W22" s="3" t="s">
        <v>42</v>
      </c>
      <c r="X22" s="3" t="s">
        <v>43</v>
      </c>
      <c r="Y22" s="3">
        <v>50</v>
      </c>
      <c r="Z22" s="3" t="s">
        <v>44</v>
      </c>
      <c r="AA22" s="3" t="s">
        <v>45</v>
      </c>
      <c r="AC22" s="3" t="s">
        <v>46</v>
      </c>
      <c r="AD22" s="3" t="s">
        <v>47</v>
      </c>
      <c r="AE22" s="3">
        <v>2</v>
      </c>
      <c r="AF22" s="3" t="s">
        <v>48</v>
      </c>
      <c r="AG22" s="3">
        <v>50</v>
      </c>
    </row>
    <row r="23" spans="1:462" x14ac:dyDescent="0.3">
      <c r="A23" s="3">
        <v>4</v>
      </c>
      <c r="B23" s="3">
        <v>3</v>
      </c>
      <c r="C23" s="3" t="s">
        <v>33</v>
      </c>
      <c r="F23" s="3">
        <v>100</v>
      </c>
      <c r="I23" s="3">
        <v>350200</v>
      </c>
      <c r="J23" s="3" t="s">
        <v>40</v>
      </c>
      <c r="K23" s="12">
        <f t="shared" si="0"/>
        <v>299316.23931623931</v>
      </c>
      <c r="L23" s="12"/>
      <c r="M23" s="3">
        <v>1.17</v>
      </c>
      <c r="N23" s="3" t="s">
        <v>41</v>
      </c>
      <c r="S23" s="3">
        <v>0.15</v>
      </c>
      <c r="T23" s="3" t="s">
        <v>39</v>
      </c>
      <c r="W23" s="3" t="s">
        <v>42</v>
      </c>
      <c r="X23" s="3" t="s">
        <v>43</v>
      </c>
      <c r="Y23" s="3">
        <v>48.5</v>
      </c>
      <c r="Z23" s="3" t="s">
        <v>44</v>
      </c>
      <c r="AA23" s="3" t="s">
        <v>45</v>
      </c>
      <c r="AB23" s="3">
        <v>1</v>
      </c>
      <c r="AC23" s="3" t="s">
        <v>46</v>
      </c>
      <c r="AD23" s="3" t="s">
        <v>47</v>
      </c>
      <c r="AE23" s="3">
        <v>2</v>
      </c>
      <c r="AF23" s="3" t="s">
        <v>48</v>
      </c>
      <c r="AG23" s="3">
        <v>48.5</v>
      </c>
    </row>
    <row r="24" spans="1:462" x14ac:dyDescent="0.3">
      <c r="A24" s="3">
        <v>4</v>
      </c>
      <c r="B24" s="3">
        <v>4</v>
      </c>
      <c r="C24" s="3" t="s">
        <v>33</v>
      </c>
      <c r="F24" s="3">
        <v>100</v>
      </c>
      <c r="I24" s="3">
        <v>350200</v>
      </c>
      <c r="J24" s="3" t="s">
        <v>40</v>
      </c>
      <c r="K24" s="12">
        <f t="shared" si="0"/>
        <v>299316.23931623931</v>
      </c>
      <c r="L24" s="12"/>
      <c r="M24" s="3">
        <v>1.17</v>
      </c>
      <c r="N24" s="3" t="s">
        <v>41</v>
      </c>
      <c r="S24" s="3">
        <v>0.15</v>
      </c>
      <c r="T24" s="3" t="s">
        <v>39</v>
      </c>
      <c r="W24" s="3" t="s">
        <v>42</v>
      </c>
      <c r="X24" s="3" t="s">
        <v>43</v>
      </c>
      <c r="Y24" s="3">
        <v>46.5</v>
      </c>
      <c r="Z24" s="3" t="s">
        <v>44</v>
      </c>
      <c r="AA24" s="3" t="s">
        <v>45</v>
      </c>
      <c r="AB24" s="3">
        <v>5</v>
      </c>
      <c r="AC24" s="3" t="s">
        <v>46</v>
      </c>
      <c r="AD24" s="3" t="s">
        <v>47</v>
      </c>
      <c r="AE24" s="3">
        <v>2</v>
      </c>
      <c r="AF24" s="3" t="s">
        <v>48</v>
      </c>
      <c r="AG24" s="3">
        <v>46.5</v>
      </c>
    </row>
    <row r="25" spans="1:462" x14ac:dyDescent="0.3">
      <c r="A25" s="3">
        <v>4</v>
      </c>
      <c r="B25" s="3">
        <v>5</v>
      </c>
      <c r="C25" s="3" t="s">
        <v>33</v>
      </c>
      <c r="F25" s="3">
        <v>100</v>
      </c>
      <c r="I25" s="3">
        <v>350200</v>
      </c>
      <c r="J25" s="3" t="s">
        <v>40</v>
      </c>
      <c r="K25" s="12">
        <f t="shared" si="0"/>
        <v>299316.23931623931</v>
      </c>
      <c r="L25" s="12"/>
      <c r="M25" s="3">
        <v>1.17</v>
      </c>
      <c r="N25" s="3" t="s">
        <v>41</v>
      </c>
      <c r="S25" s="3">
        <v>0.15</v>
      </c>
      <c r="T25" s="3" t="s">
        <v>39</v>
      </c>
      <c r="W25" s="3" t="s">
        <v>42</v>
      </c>
      <c r="X25" s="3" t="s">
        <v>43</v>
      </c>
      <c r="Y25" s="3">
        <v>44</v>
      </c>
      <c r="Z25" s="3" t="s">
        <v>44</v>
      </c>
      <c r="AA25" s="3" t="s">
        <v>45</v>
      </c>
      <c r="AB25" s="3">
        <v>10</v>
      </c>
      <c r="AC25" s="3" t="s">
        <v>46</v>
      </c>
      <c r="AD25" s="3" t="s">
        <v>47</v>
      </c>
      <c r="AE25" s="3">
        <v>2</v>
      </c>
      <c r="AF25" s="3" t="s">
        <v>48</v>
      </c>
      <c r="AG25" s="3">
        <v>44</v>
      </c>
    </row>
    <row r="26" spans="1:462" x14ac:dyDescent="0.3">
      <c r="A26" s="3">
        <v>4</v>
      </c>
      <c r="B26" s="3">
        <v>6</v>
      </c>
      <c r="C26" s="3" t="s">
        <v>33</v>
      </c>
      <c r="F26" s="3">
        <v>100</v>
      </c>
      <c r="I26" s="3">
        <v>350200</v>
      </c>
      <c r="J26" s="3" t="s">
        <v>40</v>
      </c>
      <c r="K26" s="12">
        <f t="shared" si="0"/>
        <v>299316.23931623931</v>
      </c>
      <c r="L26" s="12"/>
      <c r="M26" s="3">
        <v>1.17</v>
      </c>
      <c r="N26" s="3" t="s">
        <v>41</v>
      </c>
      <c r="S26" s="3">
        <v>0.15</v>
      </c>
      <c r="T26" s="3" t="s">
        <v>39</v>
      </c>
      <c r="W26" s="3" t="s">
        <v>36</v>
      </c>
      <c r="AG26" s="3">
        <v>100</v>
      </c>
    </row>
    <row r="27" spans="1:462" x14ac:dyDescent="0.3">
      <c r="A27" s="3">
        <v>4</v>
      </c>
      <c r="B27" s="3">
        <v>7</v>
      </c>
      <c r="C27" s="3" t="s">
        <v>33</v>
      </c>
      <c r="F27" s="3">
        <v>100</v>
      </c>
      <c r="I27" s="3">
        <v>350200</v>
      </c>
      <c r="J27" s="3" t="s">
        <v>40</v>
      </c>
      <c r="K27" s="12">
        <f t="shared" si="0"/>
        <v>299316.23931623931</v>
      </c>
      <c r="L27" s="12"/>
      <c r="M27" s="3">
        <v>1.17</v>
      </c>
      <c r="N27" s="3" t="s">
        <v>41</v>
      </c>
      <c r="S27" s="3">
        <v>0.15</v>
      </c>
      <c r="T27" s="3" t="s">
        <v>39</v>
      </c>
      <c r="W27" s="3" t="s">
        <v>42</v>
      </c>
      <c r="X27" s="3" t="s">
        <v>43</v>
      </c>
      <c r="Y27" s="3">
        <v>50</v>
      </c>
      <c r="Z27" s="3" t="s">
        <v>44</v>
      </c>
      <c r="AA27" s="3" t="s">
        <v>45</v>
      </c>
      <c r="AC27" s="3" t="s">
        <v>46</v>
      </c>
      <c r="AD27" s="3" t="s">
        <v>47</v>
      </c>
      <c r="AE27" s="3">
        <v>2</v>
      </c>
      <c r="AF27" s="3" t="s">
        <v>48</v>
      </c>
      <c r="AG27" s="3">
        <v>50</v>
      </c>
    </row>
    <row r="28" spans="1:462" x14ac:dyDescent="0.3">
      <c r="A28" s="3">
        <v>4</v>
      </c>
      <c r="B28" s="3">
        <v>8</v>
      </c>
      <c r="C28" s="3" t="s">
        <v>33</v>
      </c>
      <c r="F28" s="3">
        <v>100</v>
      </c>
      <c r="I28" s="3">
        <v>350200</v>
      </c>
      <c r="J28" s="3" t="s">
        <v>40</v>
      </c>
      <c r="K28" s="12">
        <f t="shared" si="0"/>
        <v>299316.23931623931</v>
      </c>
      <c r="L28" s="12"/>
      <c r="M28" s="3">
        <v>1.17</v>
      </c>
      <c r="N28" s="3" t="s">
        <v>41</v>
      </c>
      <c r="S28" s="3">
        <v>0.15</v>
      </c>
      <c r="T28" s="3" t="s">
        <v>39</v>
      </c>
      <c r="W28" s="3" t="s">
        <v>42</v>
      </c>
      <c r="X28" s="3" t="s">
        <v>43</v>
      </c>
      <c r="Y28" s="3">
        <v>48.5</v>
      </c>
      <c r="Z28" s="3" t="s">
        <v>44</v>
      </c>
      <c r="AA28" s="3" t="s">
        <v>45</v>
      </c>
      <c r="AB28" s="3">
        <v>1</v>
      </c>
      <c r="AC28" s="3" t="s">
        <v>46</v>
      </c>
      <c r="AD28" s="3" t="s">
        <v>47</v>
      </c>
      <c r="AE28" s="3">
        <v>2</v>
      </c>
      <c r="AF28" s="3" t="s">
        <v>48</v>
      </c>
      <c r="AG28" s="3">
        <v>48.5</v>
      </c>
    </row>
    <row r="29" spans="1:462" x14ac:dyDescent="0.3">
      <c r="A29" s="3">
        <v>4</v>
      </c>
      <c r="B29" s="3">
        <v>9</v>
      </c>
      <c r="C29" s="3" t="s">
        <v>33</v>
      </c>
      <c r="F29" s="3">
        <v>100</v>
      </c>
      <c r="I29" s="3">
        <v>350200</v>
      </c>
      <c r="J29" s="3" t="s">
        <v>40</v>
      </c>
      <c r="K29" s="12">
        <f t="shared" si="0"/>
        <v>299316.23931623931</v>
      </c>
      <c r="L29" s="12"/>
      <c r="M29" s="3">
        <v>1.17</v>
      </c>
      <c r="N29" s="3" t="s">
        <v>41</v>
      </c>
      <c r="S29" s="3">
        <v>0.15</v>
      </c>
      <c r="T29" s="3" t="s">
        <v>39</v>
      </c>
      <c r="W29" s="3" t="s">
        <v>42</v>
      </c>
      <c r="X29" s="3" t="s">
        <v>43</v>
      </c>
      <c r="Y29" s="3">
        <v>46.5</v>
      </c>
      <c r="Z29" s="3" t="s">
        <v>44</v>
      </c>
      <c r="AA29" s="3" t="s">
        <v>45</v>
      </c>
      <c r="AB29" s="3">
        <v>5</v>
      </c>
      <c r="AC29" s="3" t="s">
        <v>46</v>
      </c>
      <c r="AD29" s="3" t="s">
        <v>47</v>
      </c>
      <c r="AE29" s="3">
        <v>2</v>
      </c>
      <c r="AF29" s="3" t="s">
        <v>48</v>
      </c>
      <c r="AG29" s="3">
        <v>46.5</v>
      </c>
    </row>
    <row r="30" spans="1:462" x14ac:dyDescent="0.3">
      <c r="A30" s="3">
        <v>4</v>
      </c>
      <c r="B30" s="3">
        <v>10</v>
      </c>
      <c r="C30" s="3" t="s">
        <v>33</v>
      </c>
      <c r="F30" s="3">
        <v>100</v>
      </c>
      <c r="I30" s="3">
        <v>350200</v>
      </c>
      <c r="J30" s="3" t="s">
        <v>40</v>
      </c>
      <c r="K30" s="12">
        <f t="shared" si="0"/>
        <v>299316.23931623931</v>
      </c>
      <c r="L30" s="12"/>
      <c r="M30" s="3">
        <v>1.17</v>
      </c>
      <c r="N30" s="3" t="s">
        <v>41</v>
      </c>
      <c r="S30" s="3">
        <v>0.15</v>
      </c>
      <c r="T30" s="3" t="s">
        <v>39</v>
      </c>
      <c r="W30" s="3" t="s">
        <v>42</v>
      </c>
      <c r="X30" s="3" t="s">
        <v>43</v>
      </c>
      <c r="Y30" s="3">
        <v>44</v>
      </c>
      <c r="Z30" s="3" t="s">
        <v>44</v>
      </c>
      <c r="AA30" s="3" t="s">
        <v>45</v>
      </c>
      <c r="AB30" s="3">
        <v>10</v>
      </c>
      <c r="AC30" s="3" t="s">
        <v>46</v>
      </c>
      <c r="AD30" s="3" t="s">
        <v>47</v>
      </c>
      <c r="AE30" s="3">
        <v>2</v>
      </c>
      <c r="AF30" s="3" t="s">
        <v>48</v>
      </c>
      <c r="AG30" s="3">
        <v>44</v>
      </c>
    </row>
    <row r="31" spans="1:462" s="5" customFormat="1" x14ac:dyDescent="0.3">
      <c r="A31" s="5">
        <v>5</v>
      </c>
      <c r="B31" s="5">
        <v>1</v>
      </c>
      <c r="C31" s="5" t="s">
        <v>33</v>
      </c>
      <c r="F31" s="5">
        <v>100</v>
      </c>
      <c r="W31" s="5" t="s">
        <v>36</v>
      </c>
      <c r="AG31" s="5">
        <v>100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</row>
    <row r="32" spans="1:462" x14ac:dyDescent="0.3">
      <c r="A32" s="3">
        <v>5</v>
      </c>
      <c r="B32" s="3">
        <v>2</v>
      </c>
      <c r="C32" s="3" t="s">
        <v>33</v>
      </c>
      <c r="F32" s="3">
        <v>100</v>
      </c>
      <c r="W32" s="3" t="s">
        <v>36</v>
      </c>
      <c r="AG32" s="3">
        <v>100</v>
      </c>
    </row>
    <row r="33" spans="1:462" x14ac:dyDescent="0.3">
      <c r="A33" s="3">
        <v>5</v>
      </c>
      <c r="B33" s="3">
        <v>3</v>
      </c>
      <c r="C33" s="3" t="s">
        <v>33</v>
      </c>
      <c r="F33" s="3">
        <v>100</v>
      </c>
      <c r="W33" s="3" t="s">
        <v>36</v>
      </c>
      <c r="AG33" s="3">
        <v>100</v>
      </c>
    </row>
    <row r="34" spans="1:462" x14ac:dyDescent="0.3">
      <c r="A34" s="3">
        <v>5</v>
      </c>
      <c r="B34" s="3">
        <v>4</v>
      </c>
      <c r="C34" s="3" t="s">
        <v>33</v>
      </c>
      <c r="F34" s="3">
        <v>100</v>
      </c>
      <c r="W34" s="3" t="s">
        <v>36</v>
      </c>
      <c r="AG34" s="3">
        <v>100</v>
      </c>
    </row>
    <row r="35" spans="1:462" s="5" customFormat="1" x14ac:dyDescent="0.3">
      <c r="A35" s="5">
        <v>6</v>
      </c>
      <c r="B35" s="5">
        <v>1</v>
      </c>
      <c r="C35" s="5" t="s">
        <v>33</v>
      </c>
      <c r="F35" s="5">
        <v>100</v>
      </c>
      <c r="N35" s="5" t="s">
        <v>49</v>
      </c>
      <c r="O35" s="5">
        <v>1.25</v>
      </c>
      <c r="P35" s="5" t="s">
        <v>50</v>
      </c>
      <c r="W35" s="5" t="s">
        <v>36</v>
      </c>
      <c r="AG35" s="5">
        <v>100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</row>
    <row r="36" spans="1:462" x14ac:dyDescent="0.3">
      <c r="A36" s="3">
        <v>6</v>
      </c>
      <c r="B36" s="3">
        <v>2</v>
      </c>
      <c r="C36" s="3" t="s">
        <v>33</v>
      </c>
      <c r="F36" s="3">
        <v>100</v>
      </c>
      <c r="N36" s="3" t="s">
        <v>49</v>
      </c>
      <c r="O36" s="3">
        <v>1.25</v>
      </c>
      <c r="P36" s="3" t="s">
        <v>50</v>
      </c>
      <c r="W36" s="3" t="s">
        <v>36</v>
      </c>
      <c r="AG36" s="3">
        <v>100</v>
      </c>
    </row>
    <row r="37" spans="1:462" x14ac:dyDescent="0.3">
      <c r="A37" s="3">
        <v>6</v>
      </c>
      <c r="B37" s="3">
        <v>3</v>
      </c>
      <c r="C37" s="3" t="s">
        <v>33</v>
      </c>
      <c r="F37" s="3">
        <v>100</v>
      </c>
      <c r="N37" s="3" t="s">
        <v>49</v>
      </c>
      <c r="O37" s="3">
        <v>1.25</v>
      </c>
      <c r="P37" s="3" t="s">
        <v>50</v>
      </c>
      <c r="W37" s="3" t="s">
        <v>36</v>
      </c>
      <c r="AG37" s="3">
        <v>100</v>
      </c>
    </row>
    <row r="38" spans="1:462" x14ac:dyDescent="0.3">
      <c r="A38" s="3">
        <v>6</v>
      </c>
      <c r="B38" s="3">
        <v>4</v>
      </c>
      <c r="C38" s="3" t="s">
        <v>33</v>
      </c>
      <c r="F38" s="3">
        <v>100</v>
      </c>
      <c r="N38" s="3" t="s">
        <v>49</v>
      </c>
      <c r="O38" s="3">
        <v>1.25</v>
      </c>
      <c r="P38" s="3" t="s">
        <v>50</v>
      </c>
      <c r="W38" s="3" t="s">
        <v>36</v>
      </c>
      <c r="AG38" s="3">
        <v>100</v>
      </c>
    </row>
    <row r="39" spans="1:462" x14ac:dyDescent="0.3">
      <c r="A39" s="3">
        <v>6</v>
      </c>
      <c r="B39" s="3">
        <v>5</v>
      </c>
      <c r="C39" s="3" t="s">
        <v>33</v>
      </c>
      <c r="F39" s="3">
        <v>100</v>
      </c>
      <c r="N39" s="3" t="s">
        <v>49</v>
      </c>
      <c r="O39" s="3">
        <v>1.25</v>
      </c>
      <c r="P39" s="3" t="s">
        <v>50</v>
      </c>
      <c r="W39" s="3" t="s">
        <v>36</v>
      </c>
      <c r="AG39" s="3">
        <v>100</v>
      </c>
    </row>
    <row r="40" spans="1:462" x14ac:dyDescent="0.3">
      <c r="A40" s="3">
        <v>6</v>
      </c>
      <c r="B40" s="3">
        <v>6</v>
      </c>
      <c r="C40" s="3" t="s">
        <v>33</v>
      </c>
      <c r="F40" s="3">
        <v>100</v>
      </c>
      <c r="N40" s="3" t="s">
        <v>49</v>
      </c>
      <c r="O40" s="3">
        <v>1.25</v>
      </c>
      <c r="P40" s="3" t="s">
        <v>50</v>
      </c>
      <c r="W40" s="3" t="s">
        <v>36</v>
      </c>
      <c r="AG40" s="3">
        <v>100</v>
      </c>
    </row>
    <row r="41" spans="1:462" s="5" customFormat="1" x14ac:dyDescent="0.3">
      <c r="A41" s="5">
        <v>7</v>
      </c>
      <c r="B41" s="5">
        <v>1</v>
      </c>
      <c r="C41" s="5" t="s">
        <v>33</v>
      </c>
      <c r="I41" s="5">
        <v>195000</v>
      </c>
      <c r="J41" s="5" t="s">
        <v>40</v>
      </c>
      <c r="M41" s="5">
        <v>1.71</v>
      </c>
      <c r="W41" s="5" t="s">
        <v>36</v>
      </c>
      <c r="AG41" s="5">
        <v>100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</row>
    <row r="42" spans="1:462" x14ac:dyDescent="0.3">
      <c r="A42" s="3">
        <v>7</v>
      </c>
      <c r="B42" s="3">
        <v>2</v>
      </c>
      <c r="C42" s="3" t="s">
        <v>33</v>
      </c>
      <c r="D42" s="3" t="s">
        <v>37</v>
      </c>
      <c r="E42" s="3" t="s">
        <v>51</v>
      </c>
      <c r="F42" s="3">
        <v>87</v>
      </c>
      <c r="G42" s="3">
        <v>12</v>
      </c>
      <c r="H42" s="3">
        <v>1</v>
      </c>
      <c r="I42" s="3">
        <v>163000</v>
      </c>
      <c r="J42" s="3" t="s">
        <v>40</v>
      </c>
      <c r="M42" s="3">
        <v>1.98</v>
      </c>
      <c r="W42" s="3" t="s">
        <v>36</v>
      </c>
      <c r="AG42" s="3">
        <v>100</v>
      </c>
    </row>
    <row r="43" spans="1:462" x14ac:dyDescent="0.3">
      <c r="A43" s="3">
        <v>7</v>
      </c>
      <c r="B43" s="3">
        <v>3</v>
      </c>
      <c r="C43" s="3" t="s">
        <v>33</v>
      </c>
      <c r="I43" s="3">
        <v>195000</v>
      </c>
      <c r="J43" s="3" t="s">
        <v>40</v>
      </c>
      <c r="M43" s="3">
        <v>1.71</v>
      </c>
      <c r="W43" s="3" t="s">
        <v>36</v>
      </c>
      <c r="AG43" s="3">
        <v>100</v>
      </c>
    </row>
    <row r="44" spans="1:462" x14ac:dyDescent="0.3">
      <c r="A44" s="3">
        <v>7</v>
      </c>
      <c r="B44" s="3">
        <v>4</v>
      </c>
      <c r="C44" s="3" t="s">
        <v>33</v>
      </c>
      <c r="D44" s="3" t="s">
        <v>37</v>
      </c>
      <c r="E44" s="3" t="s">
        <v>51</v>
      </c>
      <c r="F44" s="3">
        <v>87</v>
      </c>
      <c r="G44" s="3">
        <v>12</v>
      </c>
      <c r="H44" s="3">
        <v>1</v>
      </c>
      <c r="I44" s="3">
        <v>163000</v>
      </c>
      <c r="J44" s="3" t="s">
        <v>40</v>
      </c>
      <c r="M44" s="3">
        <v>1.98</v>
      </c>
      <c r="W44" s="3" t="s">
        <v>36</v>
      </c>
      <c r="AG44" s="3">
        <v>100</v>
      </c>
    </row>
    <row r="45" spans="1:462" x14ac:dyDescent="0.3">
      <c r="A45" s="3">
        <v>7</v>
      </c>
      <c r="B45" s="3">
        <v>5</v>
      </c>
      <c r="C45" s="3" t="s">
        <v>33</v>
      </c>
      <c r="I45" s="3">
        <v>195000</v>
      </c>
      <c r="J45" s="3" t="s">
        <v>40</v>
      </c>
      <c r="M45" s="3">
        <v>1.71</v>
      </c>
      <c r="W45" s="3" t="s">
        <v>36</v>
      </c>
      <c r="AG45" s="3">
        <v>100</v>
      </c>
    </row>
    <row r="46" spans="1:462" x14ac:dyDescent="0.3">
      <c r="A46" s="3">
        <v>7</v>
      </c>
      <c r="B46" s="3">
        <v>6</v>
      </c>
      <c r="C46" s="3" t="s">
        <v>33</v>
      </c>
      <c r="D46" s="3" t="s">
        <v>37</v>
      </c>
      <c r="E46" s="3" t="s">
        <v>51</v>
      </c>
      <c r="F46" s="3">
        <v>87</v>
      </c>
      <c r="G46" s="3">
        <v>12</v>
      </c>
      <c r="H46" s="3">
        <v>1</v>
      </c>
      <c r="I46" s="3">
        <v>163000</v>
      </c>
      <c r="J46" s="3" t="s">
        <v>40</v>
      </c>
      <c r="M46" s="3">
        <v>1.98</v>
      </c>
      <c r="W46" s="3" t="s">
        <v>36</v>
      </c>
      <c r="AG46" s="3">
        <v>100</v>
      </c>
    </row>
    <row r="47" spans="1:462" x14ac:dyDescent="0.3">
      <c r="A47" s="3">
        <v>7</v>
      </c>
      <c r="B47" s="3">
        <v>7</v>
      </c>
      <c r="C47" s="3" t="s">
        <v>33</v>
      </c>
      <c r="I47" s="3">
        <v>195000</v>
      </c>
      <c r="J47" s="3" t="s">
        <v>40</v>
      </c>
      <c r="M47" s="3">
        <v>1.71</v>
      </c>
      <c r="W47" s="3" t="s">
        <v>36</v>
      </c>
      <c r="AG47" s="3">
        <v>100</v>
      </c>
    </row>
    <row r="48" spans="1:462" x14ac:dyDescent="0.3">
      <c r="A48" s="3">
        <v>7</v>
      </c>
      <c r="B48" s="3">
        <v>8</v>
      </c>
      <c r="C48" s="3" t="s">
        <v>33</v>
      </c>
      <c r="D48" s="3" t="s">
        <v>37</v>
      </c>
      <c r="E48" s="3" t="s">
        <v>51</v>
      </c>
      <c r="F48" s="3">
        <v>87</v>
      </c>
      <c r="G48" s="3">
        <v>12</v>
      </c>
      <c r="H48" s="3">
        <v>1</v>
      </c>
      <c r="I48" s="3">
        <v>163000</v>
      </c>
      <c r="J48" s="3" t="s">
        <v>40</v>
      </c>
      <c r="M48" s="3">
        <v>1.98</v>
      </c>
      <c r="W48" s="3" t="s">
        <v>36</v>
      </c>
      <c r="AG48" s="3">
        <v>100</v>
      </c>
    </row>
    <row r="49" spans="1:462" s="5" customFormat="1" x14ac:dyDescent="0.3">
      <c r="A49" s="5">
        <v>8</v>
      </c>
      <c r="B49" s="5">
        <v>1</v>
      </c>
      <c r="C49" s="5" t="s">
        <v>33</v>
      </c>
      <c r="D49" s="5" t="s">
        <v>37</v>
      </c>
      <c r="N49" s="5" t="s">
        <v>263</v>
      </c>
      <c r="O49" s="5">
        <v>8</v>
      </c>
      <c r="P49" s="5" t="s">
        <v>50</v>
      </c>
      <c r="W49" s="5" t="s">
        <v>36</v>
      </c>
      <c r="AG49" s="5">
        <v>100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</row>
    <row r="50" spans="1:462" x14ac:dyDescent="0.3">
      <c r="A50" s="3">
        <v>8</v>
      </c>
      <c r="B50" s="3">
        <v>2</v>
      </c>
      <c r="C50" s="3" t="s">
        <v>33</v>
      </c>
      <c r="D50" s="3" t="s">
        <v>37</v>
      </c>
      <c r="N50" s="3" t="s">
        <v>263</v>
      </c>
      <c r="O50" s="3">
        <v>8</v>
      </c>
      <c r="P50" s="3" t="s">
        <v>50</v>
      </c>
      <c r="W50" s="3" t="s">
        <v>36</v>
      </c>
      <c r="AG50" s="3">
        <v>100</v>
      </c>
    </row>
    <row r="51" spans="1:462" x14ac:dyDescent="0.3">
      <c r="A51" s="3">
        <v>8</v>
      </c>
      <c r="B51" s="3">
        <v>3</v>
      </c>
      <c r="C51" s="3" t="s">
        <v>33</v>
      </c>
      <c r="D51" s="3" t="s">
        <v>37</v>
      </c>
      <c r="N51" s="3" t="s">
        <v>263</v>
      </c>
      <c r="O51" s="3">
        <v>8</v>
      </c>
      <c r="P51" s="3" t="s">
        <v>50</v>
      </c>
      <c r="W51" s="3" t="s">
        <v>36</v>
      </c>
      <c r="AG51" s="3">
        <v>100</v>
      </c>
    </row>
    <row r="52" spans="1:462" x14ac:dyDescent="0.3">
      <c r="A52" s="3">
        <v>8</v>
      </c>
      <c r="B52" s="3">
        <v>4</v>
      </c>
      <c r="C52" s="3" t="s">
        <v>33</v>
      </c>
      <c r="D52" s="3" t="s">
        <v>37</v>
      </c>
      <c r="N52" s="3" t="s">
        <v>263</v>
      </c>
      <c r="O52" s="3">
        <v>8</v>
      </c>
      <c r="P52" s="3" t="s">
        <v>50</v>
      </c>
      <c r="W52" s="3" t="s">
        <v>36</v>
      </c>
      <c r="AG52" s="3">
        <v>100</v>
      </c>
    </row>
    <row r="53" spans="1:462" s="5" customFormat="1" x14ac:dyDescent="0.3">
      <c r="A53" s="5">
        <v>9</v>
      </c>
      <c r="B53" s="5">
        <v>1</v>
      </c>
      <c r="C53" s="5" t="s">
        <v>33</v>
      </c>
      <c r="F53" s="5">
        <v>100</v>
      </c>
      <c r="N53" s="5" t="s">
        <v>265</v>
      </c>
      <c r="W53" s="5" t="s">
        <v>36</v>
      </c>
      <c r="AG53" s="5">
        <v>100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</row>
    <row r="54" spans="1:462" x14ac:dyDescent="0.3">
      <c r="A54" s="3">
        <v>9</v>
      </c>
      <c r="B54" s="3">
        <v>2</v>
      </c>
      <c r="C54" s="3" t="s">
        <v>33</v>
      </c>
      <c r="F54" s="3">
        <v>100</v>
      </c>
      <c r="N54" s="3" t="s">
        <v>265</v>
      </c>
      <c r="W54" s="3" t="s">
        <v>36</v>
      </c>
      <c r="AG54" s="3">
        <v>100</v>
      </c>
    </row>
    <row r="55" spans="1:462" x14ac:dyDescent="0.3">
      <c r="A55" s="3">
        <v>9</v>
      </c>
      <c r="B55" s="3">
        <v>3</v>
      </c>
      <c r="C55" s="3" t="s">
        <v>33</v>
      </c>
      <c r="F55" s="3">
        <v>100</v>
      </c>
      <c r="N55" s="3" t="s">
        <v>265</v>
      </c>
      <c r="W55" s="3" t="s">
        <v>36</v>
      </c>
      <c r="AG55" s="3">
        <v>100</v>
      </c>
    </row>
    <row r="56" spans="1:462" x14ac:dyDescent="0.3">
      <c r="A56" s="3">
        <v>9</v>
      </c>
      <c r="B56" s="3">
        <v>4</v>
      </c>
      <c r="C56" s="3" t="s">
        <v>33</v>
      </c>
      <c r="F56" s="3">
        <v>100</v>
      </c>
      <c r="N56" s="3" t="s">
        <v>265</v>
      </c>
      <c r="W56" s="3" t="s">
        <v>36</v>
      </c>
      <c r="AG56" s="3">
        <v>100</v>
      </c>
    </row>
    <row r="57" spans="1:462" x14ac:dyDescent="0.3">
      <c r="A57" s="3">
        <v>9</v>
      </c>
      <c r="B57" s="3">
        <v>5</v>
      </c>
      <c r="C57" s="11" t="s">
        <v>33</v>
      </c>
      <c r="F57" s="3">
        <v>100</v>
      </c>
      <c r="N57" s="3" t="s">
        <v>265</v>
      </c>
      <c r="W57" s="3" t="s">
        <v>36</v>
      </c>
      <c r="AG57" s="3">
        <v>100</v>
      </c>
    </row>
    <row r="58" spans="1:462" s="5" customFormat="1" x14ac:dyDescent="0.3">
      <c r="A58" s="5">
        <v>10</v>
      </c>
      <c r="B58" s="5">
        <v>1</v>
      </c>
      <c r="C58" s="3" t="s">
        <v>33</v>
      </c>
      <c r="F58" s="5">
        <v>100</v>
      </c>
      <c r="N58" s="5" t="s">
        <v>41</v>
      </c>
      <c r="S58" s="5">
        <v>40</v>
      </c>
      <c r="T58" s="5" t="s">
        <v>50</v>
      </c>
      <c r="W58" s="5" t="s">
        <v>42</v>
      </c>
      <c r="X58" s="5" t="s">
        <v>52</v>
      </c>
      <c r="Y58" s="5">
        <v>72</v>
      </c>
      <c r="Z58" s="5" t="s">
        <v>53</v>
      </c>
      <c r="AG58" s="5">
        <v>28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</row>
    <row r="59" spans="1:462" x14ac:dyDescent="0.3">
      <c r="A59" s="3">
        <v>10</v>
      </c>
      <c r="B59" s="3">
        <v>2</v>
      </c>
      <c r="C59" s="3" t="s">
        <v>33</v>
      </c>
      <c r="F59" s="3">
        <v>100</v>
      </c>
      <c r="N59" s="3" t="s">
        <v>41</v>
      </c>
      <c r="S59" s="3">
        <v>40</v>
      </c>
      <c r="T59" s="3" t="s">
        <v>50</v>
      </c>
      <c r="W59" s="3" t="s">
        <v>42</v>
      </c>
      <c r="X59" s="3" t="s">
        <v>52</v>
      </c>
      <c r="Y59" s="3">
        <v>72</v>
      </c>
      <c r="Z59" s="3" t="s">
        <v>53</v>
      </c>
      <c r="AG59" s="3">
        <v>28</v>
      </c>
    </row>
    <row r="60" spans="1:462" s="5" customFormat="1" x14ac:dyDescent="0.3">
      <c r="A60" s="5">
        <v>11</v>
      </c>
      <c r="B60" s="5">
        <v>1</v>
      </c>
      <c r="C60" s="5" t="s">
        <v>33</v>
      </c>
      <c r="F60" s="5">
        <v>100</v>
      </c>
      <c r="I60" s="5">
        <f t="shared" ref="I60:I71" si="1">K60*M60</f>
        <v>257500</v>
      </c>
      <c r="K60" s="5">
        <v>103000</v>
      </c>
      <c r="M60" s="5">
        <v>2.5</v>
      </c>
      <c r="N60" s="5" t="s">
        <v>41</v>
      </c>
      <c r="O60" s="5">
        <v>55</v>
      </c>
      <c r="P60" s="5" t="s">
        <v>39</v>
      </c>
      <c r="S60" s="5">
        <v>1</v>
      </c>
      <c r="T60" s="5" t="s">
        <v>39</v>
      </c>
      <c r="W60" s="5" t="s">
        <v>36</v>
      </c>
      <c r="AG60" s="5">
        <v>100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</row>
    <row r="61" spans="1:462" x14ac:dyDescent="0.3">
      <c r="A61" s="3">
        <v>11</v>
      </c>
      <c r="B61" s="3">
        <v>2</v>
      </c>
      <c r="C61" s="3" t="s">
        <v>33</v>
      </c>
      <c r="F61" s="3">
        <v>100</v>
      </c>
      <c r="I61" s="3">
        <f t="shared" si="1"/>
        <v>257500</v>
      </c>
      <c r="K61" s="3">
        <v>103000</v>
      </c>
      <c r="M61" s="3">
        <v>2.5</v>
      </c>
      <c r="N61" s="3" t="s">
        <v>41</v>
      </c>
      <c r="O61" s="3">
        <v>55</v>
      </c>
      <c r="P61" s="3" t="s">
        <v>39</v>
      </c>
      <c r="S61" s="3">
        <v>1</v>
      </c>
      <c r="T61" s="3" t="s">
        <v>39</v>
      </c>
      <c r="W61" s="3" t="s">
        <v>42</v>
      </c>
      <c r="X61" s="3" t="s">
        <v>54</v>
      </c>
      <c r="Y61" s="3">
        <v>50</v>
      </c>
      <c r="Z61" s="3" t="s">
        <v>55</v>
      </c>
      <c r="AG61" s="3">
        <v>50</v>
      </c>
    </row>
    <row r="62" spans="1:462" x14ac:dyDescent="0.3">
      <c r="A62" s="3">
        <v>11</v>
      </c>
      <c r="B62" s="3">
        <v>3</v>
      </c>
      <c r="C62" s="3" t="s">
        <v>33</v>
      </c>
      <c r="F62" s="3">
        <v>100</v>
      </c>
      <c r="I62" s="3">
        <f t="shared" si="1"/>
        <v>257500</v>
      </c>
      <c r="K62" s="3">
        <v>103000</v>
      </c>
      <c r="M62" s="3">
        <v>2.5</v>
      </c>
      <c r="N62" s="3" t="s">
        <v>41</v>
      </c>
      <c r="O62" s="3">
        <v>55</v>
      </c>
      <c r="P62" s="3" t="s">
        <v>39</v>
      </c>
      <c r="S62" s="3">
        <v>1</v>
      </c>
      <c r="T62" s="3" t="s">
        <v>39</v>
      </c>
      <c r="W62" s="3" t="s">
        <v>42</v>
      </c>
      <c r="X62" s="3" t="s">
        <v>56</v>
      </c>
      <c r="Y62" s="3">
        <v>50</v>
      </c>
      <c r="Z62" s="3" t="s">
        <v>57</v>
      </c>
      <c r="AG62" s="3">
        <v>50</v>
      </c>
    </row>
    <row r="63" spans="1:462" x14ac:dyDescent="0.3">
      <c r="A63" s="3">
        <v>11</v>
      </c>
      <c r="B63" s="3">
        <v>4</v>
      </c>
      <c r="C63" s="3" t="s">
        <v>33</v>
      </c>
      <c r="F63" s="3">
        <v>100</v>
      </c>
      <c r="I63" s="3">
        <f t="shared" si="1"/>
        <v>257500</v>
      </c>
      <c r="K63" s="3">
        <v>103000</v>
      </c>
      <c r="M63" s="3">
        <v>2.5</v>
      </c>
      <c r="N63" s="3" t="s">
        <v>41</v>
      </c>
      <c r="O63" s="3">
        <v>55</v>
      </c>
      <c r="P63" s="3" t="s">
        <v>39</v>
      </c>
      <c r="S63" s="3">
        <v>1</v>
      </c>
      <c r="T63" s="3" t="s">
        <v>39</v>
      </c>
      <c r="W63" s="3" t="s">
        <v>36</v>
      </c>
      <c r="AG63" s="3">
        <v>100</v>
      </c>
    </row>
    <row r="64" spans="1:462" x14ac:dyDescent="0.3">
      <c r="A64" s="3">
        <v>11</v>
      </c>
      <c r="B64" s="3">
        <v>5</v>
      </c>
      <c r="C64" s="3" t="s">
        <v>33</v>
      </c>
      <c r="F64" s="3">
        <v>100</v>
      </c>
      <c r="I64" s="3">
        <f t="shared" si="1"/>
        <v>257500</v>
      </c>
      <c r="K64" s="3">
        <v>103000</v>
      </c>
      <c r="M64" s="3">
        <v>2.5</v>
      </c>
      <c r="N64" s="3" t="s">
        <v>41</v>
      </c>
      <c r="O64" s="3">
        <v>55</v>
      </c>
      <c r="P64" s="3" t="s">
        <v>39</v>
      </c>
      <c r="S64" s="3">
        <v>1</v>
      </c>
      <c r="T64" s="3" t="s">
        <v>39</v>
      </c>
      <c r="W64" s="3" t="s">
        <v>42</v>
      </c>
      <c r="X64" s="3" t="s">
        <v>54</v>
      </c>
      <c r="Y64" s="3">
        <v>50</v>
      </c>
      <c r="Z64" s="3" t="s">
        <v>55</v>
      </c>
      <c r="AG64" s="3">
        <v>50</v>
      </c>
    </row>
    <row r="65" spans="1:462" x14ac:dyDescent="0.3">
      <c r="A65" s="3">
        <v>11</v>
      </c>
      <c r="B65" s="3">
        <v>6</v>
      </c>
      <c r="C65" s="3" t="s">
        <v>33</v>
      </c>
      <c r="F65" s="3">
        <v>100</v>
      </c>
      <c r="I65" s="3">
        <f t="shared" si="1"/>
        <v>257500</v>
      </c>
      <c r="K65" s="3">
        <v>103000</v>
      </c>
      <c r="M65" s="3">
        <v>2.5</v>
      </c>
      <c r="N65" s="3" t="s">
        <v>41</v>
      </c>
      <c r="O65" s="3">
        <v>55</v>
      </c>
      <c r="P65" s="3" t="s">
        <v>39</v>
      </c>
      <c r="S65" s="3">
        <v>1</v>
      </c>
      <c r="T65" s="3" t="s">
        <v>39</v>
      </c>
      <c r="W65" s="3" t="s">
        <v>42</v>
      </c>
      <c r="X65" s="3" t="s">
        <v>56</v>
      </c>
      <c r="Y65" s="3">
        <v>50</v>
      </c>
      <c r="Z65" s="3" t="s">
        <v>57</v>
      </c>
      <c r="AG65" s="3">
        <v>50</v>
      </c>
    </row>
    <row r="66" spans="1:462" x14ac:dyDescent="0.3">
      <c r="A66" s="3">
        <v>11</v>
      </c>
      <c r="B66" s="3">
        <v>7</v>
      </c>
      <c r="C66" s="3" t="s">
        <v>33</v>
      </c>
      <c r="F66" s="3">
        <v>100</v>
      </c>
      <c r="I66" s="3">
        <f t="shared" si="1"/>
        <v>257500</v>
      </c>
      <c r="K66" s="3">
        <v>103000</v>
      </c>
      <c r="M66" s="3">
        <v>2.5</v>
      </c>
      <c r="N66" s="3" t="s">
        <v>41</v>
      </c>
      <c r="O66" s="3">
        <v>55</v>
      </c>
      <c r="P66" s="3" t="s">
        <v>39</v>
      </c>
      <c r="S66" s="3">
        <v>1</v>
      </c>
      <c r="T66" s="3" t="s">
        <v>39</v>
      </c>
      <c r="W66" s="3" t="s">
        <v>36</v>
      </c>
      <c r="AG66" s="3">
        <v>100</v>
      </c>
    </row>
    <row r="67" spans="1:462" x14ac:dyDescent="0.3">
      <c r="A67" s="3">
        <v>11</v>
      </c>
      <c r="B67" s="3">
        <v>8</v>
      </c>
      <c r="C67" s="3" t="s">
        <v>33</v>
      </c>
      <c r="F67" s="3">
        <v>100</v>
      </c>
      <c r="I67" s="3">
        <f t="shared" si="1"/>
        <v>257500</v>
      </c>
      <c r="K67" s="3">
        <v>103000</v>
      </c>
      <c r="M67" s="3">
        <v>2.5</v>
      </c>
      <c r="N67" s="3" t="s">
        <v>41</v>
      </c>
      <c r="O67" s="3">
        <v>55</v>
      </c>
      <c r="P67" s="3" t="s">
        <v>39</v>
      </c>
      <c r="S67" s="3">
        <v>1</v>
      </c>
      <c r="T67" s="3" t="s">
        <v>39</v>
      </c>
      <c r="W67" s="3" t="s">
        <v>42</v>
      </c>
      <c r="X67" s="3" t="s">
        <v>54</v>
      </c>
      <c r="Y67" s="3">
        <v>50</v>
      </c>
      <c r="Z67" s="3" t="s">
        <v>55</v>
      </c>
      <c r="AG67" s="3">
        <v>50</v>
      </c>
    </row>
    <row r="68" spans="1:462" x14ac:dyDescent="0.3">
      <c r="A68" s="3">
        <v>11</v>
      </c>
      <c r="B68" s="3">
        <v>9</v>
      </c>
      <c r="C68" s="3" t="s">
        <v>33</v>
      </c>
      <c r="F68" s="3">
        <v>100</v>
      </c>
      <c r="I68" s="3">
        <f t="shared" si="1"/>
        <v>257500</v>
      </c>
      <c r="K68" s="3">
        <v>103000</v>
      </c>
      <c r="M68" s="3">
        <v>2.5</v>
      </c>
      <c r="N68" s="3" t="s">
        <v>41</v>
      </c>
      <c r="O68" s="3">
        <v>55</v>
      </c>
      <c r="P68" s="3" t="s">
        <v>39</v>
      </c>
      <c r="S68" s="3">
        <v>1</v>
      </c>
      <c r="T68" s="3" t="s">
        <v>39</v>
      </c>
      <c r="W68" s="3" t="s">
        <v>42</v>
      </c>
      <c r="X68" s="3" t="s">
        <v>56</v>
      </c>
      <c r="Y68" s="3">
        <v>50</v>
      </c>
      <c r="Z68" s="3" t="s">
        <v>57</v>
      </c>
      <c r="AG68" s="3">
        <v>50</v>
      </c>
    </row>
    <row r="69" spans="1:462" x14ac:dyDescent="0.3">
      <c r="A69" s="3">
        <v>11</v>
      </c>
      <c r="B69" s="3">
        <v>10</v>
      </c>
      <c r="C69" s="3" t="s">
        <v>33</v>
      </c>
      <c r="F69" s="3">
        <v>100</v>
      </c>
      <c r="I69" s="3">
        <f t="shared" si="1"/>
        <v>257500</v>
      </c>
      <c r="K69" s="3">
        <v>103000</v>
      </c>
      <c r="M69" s="3">
        <v>2.5</v>
      </c>
      <c r="N69" s="3" t="s">
        <v>41</v>
      </c>
      <c r="O69" s="3">
        <v>55</v>
      </c>
      <c r="P69" s="3" t="s">
        <v>39</v>
      </c>
      <c r="S69" s="3">
        <v>1</v>
      </c>
      <c r="T69" s="3" t="s">
        <v>39</v>
      </c>
      <c r="W69" s="3" t="s">
        <v>36</v>
      </c>
      <c r="AG69" s="3">
        <v>100</v>
      </c>
    </row>
    <row r="70" spans="1:462" x14ac:dyDescent="0.3">
      <c r="A70" s="3">
        <v>11</v>
      </c>
      <c r="B70" s="3">
        <v>11</v>
      </c>
      <c r="C70" s="3" t="s">
        <v>33</v>
      </c>
      <c r="F70" s="3">
        <v>100</v>
      </c>
      <c r="I70" s="3">
        <f t="shared" si="1"/>
        <v>257500</v>
      </c>
      <c r="K70" s="3">
        <v>103000</v>
      </c>
      <c r="M70" s="3">
        <v>2.5</v>
      </c>
      <c r="N70" s="3" t="s">
        <v>41</v>
      </c>
      <c r="O70" s="3">
        <v>55</v>
      </c>
      <c r="P70" s="3" t="s">
        <v>39</v>
      </c>
      <c r="S70" s="3">
        <v>1</v>
      </c>
      <c r="T70" s="3" t="s">
        <v>39</v>
      </c>
      <c r="W70" s="3" t="s">
        <v>42</v>
      </c>
      <c r="X70" s="3" t="s">
        <v>54</v>
      </c>
      <c r="Y70" s="3">
        <v>50</v>
      </c>
      <c r="Z70" s="3" t="s">
        <v>55</v>
      </c>
      <c r="AG70" s="3">
        <v>50</v>
      </c>
    </row>
    <row r="71" spans="1:462" x14ac:dyDescent="0.3">
      <c r="A71" s="3">
        <v>11</v>
      </c>
      <c r="B71" s="3">
        <v>12</v>
      </c>
      <c r="C71" s="3" t="s">
        <v>33</v>
      </c>
      <c r="F71" s="3">
        <v>100</v>
      </c>
      <c r="I71" s="3">
        <f t="shared" si="1"/>
        <v>257500</v>
      </c>
      <c r="K71" s="3">
        <v>103000</v>
      </c>
      <c r="M71" s="3">
        <v>2.5</v>
      </c>
      <c r="N71" s="3" t="s">
        <v>41</v>
      </c>
      <c r="O71" s="3">
        <v>55</v>
      </c>
      <c r="P71" s="3" t="s">
        <v>39</v>
      </c>
      <c r="S71" s="3">
        <v>1</v>
      </c>
      <c r="T71" s="3" t="s">
        <v>39</v>
      </c>
      <c r="W71" s="3" t="s">
        <v>42</v>
      </c>
      <c r="X71" s="3" t="s">
        <v>56</v>
      </c>
      <c r="Y71" s="3">
        <v>50</v>
      </c>
      <c r="Z71" s="3" t="s">
        <v>57</v>
      </c>
      <c r="AG71" s="3">
        <v>50</v>
      </c>
    </row>
    <row r="72" spans="1:462" s="5" customFormat="1" x14ac:dyDescent="0.3">
      <c r="A72" s="5">
        <v>12</v>
      </c>
      <c r="B72" s="5">
        <v>1</v>
      </c>
      <c r="C72" s="5" t="s">
        <v>33</v>
      </c>
      <c r="D72" s="5" t="s">
        <v>37</v>
      </c>
      <c r="F72" s="5">
        <v>93.5</v>
      </c>
      <c r="G72" s="5">
        <v>6.5</v>
      </c>
      <c r="N72" s="5" t="s">
        <v>49</v>
      </c>
      <c r="O72" s="5">
        <v>62.82</v>
      </c>
      <c r="P72" s="5" t="s">
        <v>50</v>
      </c>
      <c r="W72" s="5" t="s">
        <v>36</v>
      </c>
      <c r="AG72" s="5">
        <v>100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</row>
    <row r="73" spans="1:462" x14ac:dyDescent="0.3">
      <c r="A73" s="3">
        <v>12</v>
      </c>
      <c r="B73" s="3">
        <v>2</v>
      </c>
      <c r="C73" s="3" t="s">
        <v>33</v>
      </c>
      <c r="D73" s="3" t="s">
        <v>37</v>
      </c>
      <c r="F73" s="3">
        <v>93.5</v>
      </c>
      <c r="G73" s="3">
        <v>6.5</v>
      </c>
      <c r="N73" s="3" t="s">
        <v>49</v>
      </c>
      <c r="O73" s="3">
        <v>62.82</v>
      </c>
      <c r="P73" s="3" t="s">
        <v>50</v>
      </c>
      <c r="W73" s="3" t="s">
        <v>36</v>
      </c>
      <c r="AG73" s="3">
        <v>100</v>
      </c>
    </row>
    <row r="74" spans="1:462" x14ac:dyDescent="0.3">
      <c r="A74" s="3">
        <v>12</v>
      </c>
      <c r="B74" s="3">
        <v>3</v>
      </c>
      <c r="C74" s="3" t="s">
        <v>33</v>
      </c>
      <c r="D74" s="3" t="s">
        <v>37</v>
      </c>
      <c r="F74" s="3">
        <v>93.5</v>
      </c>
      <c r="G74" s="3">
        <v>6.5</v>
      </c>
      <c r="N74" s="3" t="s">
        <v>49</v>
      </c>
      <c r="O74" s="3">
        <v>62.82</v>
      </c>
      <c r="P74" s="3" t="s">
        <v>50</v>
      </c>
      <c r="W74" s="3" t="s">
        <v>36</v>
      </c>
      <c r="AG74" s="3">
        <v>100</v>
      </c>
    </row>
    <row r="75" spans="1:462" x14ac:dyDescent="0.3">
      <c r="A75" s="3">
        <v>12</v>
      </c>
      <c r="B75" s="3">
        <v>4</v>
      </c>
      <c r="C75" s="3" t="s">
        <v>33</v>
      </c>
      <c r="D75" s="3" t="s">
        <v>37</v>
      </c>
      <c r="F75" s="3">
        <v>93.5</v>
      </c>
      <c r="G75" s="3">
        <v>6.5</v>
      </c>
      <c r="N75" s="3" t="s">
        <v>49</v>
      </c>
      <c r="O75" s="3">
        <v>62.82</v>
      </c>
      <c r="P75" s="3" t="s">
        <v>50</v>
      </c>
      <c r="W75" s="3" t="s">
        <v>36</v>
      </c>
      <c r="AG75" s="3">
        <v>100</v>
      </c>
    </row>
    <row r="76" spans="1:462" x14ac:dyDescent="0.3">
      <c r="A76" s="3">
        <v>12</v>
      </c>
      <c r="B76" s="3">
        <v>5</v>
      </c>
      <c r="C76" s="3" t="s">
        <v>33</v>
      </c>
      <c r="D76" s="3" t="s">
        <v>37</v>
      </c>
      <c r="F76" s="3">
        <v>93.5</v>
      </c>
      <c r="G76" s="3">
        <v>6.5</v>
      </c>
      <c r="N76" s="3" t="s">
        <v>49</v>
      </c>
      <c r="O76" s="3">
        <v>62.82</v>
      </c>
      <c r="P76" s="3" t="s">
        <v>50</v>
      </c>
      <c r="W76" s="3" t="s">
        <v>36</v>
      </c>
      <c r="AG76" s="3">
        <v>100</v>
      </c>
    </row>
    <row r="77" spans="1:462" s="5" customFormat="1" x14ac:dyDescent="0.3">
      <c r="A77" s="5">
        <v>13</v>
      </c>
      <c r="B77" s="5">
        <v>1</v>
      </c>
      <c r="C77" s="5" t="s">
        <v>33</v>
      </c>
      <c r="F77" s="5">
        <v>100</v>
      </c>
      <c r="W77" s="5" t="s">
        <v>36</v>
      </c>
      <c r="AG77" s="5">
        <v>100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</row>
    <row r="78" spans="1:462" x14ac:dyDescent="0.3">
      <c r="A78" s="3">
        <v>13</v>
      </c>
      <c r="B78" s="3">
        <v>2</v>
      </c>
      <c r="C78" s="3" t="s">
        <v>33</v>
      </c>
      <c r="F78" s="3">
        <v>100</v>
      </c>
      <c r="W78" s="3" t="s">
        <v>36</v>
      </c>
      <c r="AG78" s="3">
        <v>100</v>
      </c>
    </row>
    <row r="79" spans="1:462" s="5" customFormat="1" x14ac:dyDescent="0.3">
      <c r="A79" s="5">
        <v>14</v>
      </c>
      <c r="B79" s="5">
        <v>1</v>
      </c>
      <c r="C79" s="5" t="s">
        <v>33</v>
      </c>
      <c r="F79" s="5">
        <v>100</v>
      </c>
      <c r="W79" s="5" t="s">
        <v>36</v>
      </c>
      <c r="AG79" s="5">
        <v>100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</row>
    <row r="80" spans="1:462" x14ac:dyDescent="0.3">
      <c r="A80" s="3">
        <v>14</v>
      </c>
      <c r="B80" s="3">
        <v>2</v>
      </c>
      <c r="C80" s="3" t="s">
        <v>33</v>
      </c>
      <c r="F80" s="3">
        <v>100</v>
      </c>
      <c r="W80" s="3" t="s">
        <v>36</v>
      </c>
      <c r="AG80" s="3">
        <v>100</v>
      </c>
    </row>
    <row r="81" spans="1:462" s="5" customFormat="1" x14ac:dyDescent="0.3">
      <c r="A81" s="5">
        <v>15</v>
      </c>
      <c r="B81" s="5">
        <v>1</v>
      </c>
      <c r="C81" s="5" t="s">
        <v>33</v>
      </c>
      <c r="F81" s="5">
        <v>100</v>
      </c>
      <c r="N81" s="5" t="s">
        <v>49</v>
      </c>
      <c r="O81" s="5">
        <v>63</v>
      </c>
      <c r="P81" s="5" t="s">
        <v>50</v>
      </c>
      <c r="W81" s="5" t="s">
        <v>36</v>
      </c>
      <c r="AG81" s="5">
        <v>100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</row>
    <row r="82" spans="1:462" x14ac:dyDescent="0.3">
      <c r="A82" s="3">
        <v>15</v>
      </c>
      <c r="B82" s="3">
        <v>2</v>
      </c>
      <c r="C82" s="3" t="s">
        <v>33</v>
      </c>
      <c r="F82" s="3">
        <v>100</v>
      </c>
      <c r="N82" s="3" t="s">
        <v>49</v>
      </c>
      <c r="O82" s="3">
        <v>63</v>
      </c>
      <c r="P82" s="3" t="s">
        <v>50</v>
      </c>
      <c r="W82" s="3" t="s">
        <v>36</v>
      </c>
      <c r="AG82" s="3">
        <v>100</v>
      </c>
    </row>
    <row r="83" spans="1:462" x14ac:dyDescent="0.3">
      <c r="A83" s="3">
        <v>15</v>
      </c>
      <c r="B83" s="3">
        <v>3</v>
      </c>
      <c r="C83" s="3" t="s">
        <v>33</v>
      </c>
      <c r="F83" s="3">
        <v>100</v>
      </c>
      <c r="N83" s="3" t="s">
        <v>49</v>
      </c>
      <c r="O83" s="3">
        <v>63</v>
      </c>
      <c r="P83" s="3" t="s">
        <v>50</v>
      </c>
      <c r="W83" s="3" t="s">
        <v>36</v>
      </c>
      <c r="AG83" s="3">
        <v>100</v>
      </c>
    </row>
    <row r="84" spans="1:462" s="5" customFormat="1" x14ac:dyDescent="0.3">
      <c r="A84" s="5">
        <v>16</v>
      </c>
      <c r="B84" s="5">
        <v>1</v>
      </c>
      <c r="C84" s="5" t="s">
        <v>33</v>
      </c>
      <c r="F84" s="5">
        <v>100</v>
      </c>
      <c r="N84" s="5" t="s">
        <v>49</v>
      </c>
      <c r="O84" s="5">
        <v>0.64</v>
      </c>
      <c r="P84" s="5" t="s">
        <v>50</v>
      </c>
      <c r="W84" s="5" t="s">
        <v>36</v>
      </c>
      <c r="AG84" s="5">
        <v>100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</row>
    <row r="85" spans="1:462" x14ac:dyDescent="0.3">
      <c r="A85" s="3">
        <v>16</v>
      </c>
      <c r="B85" s="3">
        <v>2</v>
      </c>
      <c r="C85" s="3" t="s">
        <v>33</v>
      </c>
      <c r="F85" s="3">
        <v>100</v>
      </c>
      <c r="N85" s="3" t="s">
        <v>49</v>
      </c>
      <c r="O85" s="3">
        <v>0.64</v>
      </c>
      <c r="P85" s="3" t="s">
        <v>50</v>
      </c>
      <c r="W85" s="3" t="s">
        <v>36</v>
      </c>
      <c r="AG85" s="3">
        <v>100</v>
      </c>
    </row>
    <row r="86" spans="1:462" x14ac:dyDescent="0.3">
      <c r="A86" s="3">
        <v>16</v>
      </c>
      <c r="B86" s="3">
        <v>3</v>
      </c>
      <c r="C86" s="3" t="s">
        <v>33</v>
      </c>
      <c r="F86" s="3">
        <v>100</v>
      </c>
      <c r="N86" s="3" t="s">
        <v>49</v>
      </c>
      <c r="O86" s="3">
        <v>0.64</v>
      </c>
      <c r="P86" s="3" t="s">
        <v>50</v>
      </c>
      <c r="W86" s="3" t="s">
        <v>36</v>
      </c>
      <c r="AG86" s="3">
        <v>100</v>
      </c>
    </row>
    <row r="87" spans="1:462" s="5" customFormat="1" x14ac:dyDescent="0.3">
      <c r="A87" s="5">
        <v>17</v>
      </c>
      <c r="B87" s="5">
        <v>1</v>
      </c>
      <c r="C87" s="5" t="s">
        <v>33</v>
      </c>
      <c r="F87" s="5">
        <v>100</v>
      </c>
      <c r="N87" s="5" t="s">
        <v>41</v>
      </c>
      <c r="O87" s="5">
        <v>40</v>
      </c>
      <c r="P87" s="5" t="s">
        <v>50</v>
      </c>
      <c r="W87" s="5" t="s">
        <v>36</v>
      </c>
      <c r="AG87" s="5">
        <v>100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</row>
    <row r="88" spans="1:462" x14ac:dyDescent="0.3">
      <c r="A88" s="3">
        <v>17</v>
      </c>
      <c r="B88" s="3">
        <v>2</v>
      </c>
      <c r="C88" s="3" t="s">
        <v>33</v>
      </c>
      <c r="F88" s="3">
        <v>100</v>
      </c>
      <c r="N88" s="3" t="s">
        <v>41</v>
      </c>
      <c r="O88" s="3">
        <v>40</v>
      </c>
      <c r="P88" s="3" t="s">
        <v>50</v>
      </c>
      <c r="W88" s="3" t="s">
        <v>36</v>
      </c>
      <c r="AG88" s="3">
        <v>100</v>
      </c>
    </row>
    <row r="89" spans="1:462" s="5" customFormat="1" x14ac:dyDescent="0.3">
      <c r="A89" s="5">
        <v>18</v>
      </c>
      <c r="B89" s="5">
        <v>1</v>
      </c>
      <c r="C89" s="5" t="s">
        <v>33</v>
      </c>
      <c r="F89" s="5">
        <v>100</v>
      </c>
      <c r="N89" s="5" t="s">
        <v>34</v>
      </c>
      <c r="O89" s="5">
        <v>75</v>
      </c>
      <c r="P89" s="5" t="s">
        <v>35</v>
      </c>
      <c r="U89" s="5">
        <v>19.7</v>
      </c>
      <c r="V89" s="5" t="s">
        <v>58</v>
      </c>
      <c r="W89" s="5" t="s">
        <v>36</v>
      </c>
      <c r="AG89" s="5">
        <v>100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</row>
    <row r="90" spans="1:462" x14ac:dyDescent="0.3">
      <c r="A90" s="3">
        <v>18</v>
      </c>
      <c r="B90" s="3">
        <v>2</v>
      </c>
      <c r="C90" s="3" t="s">
        <v>33</v>
      </c>
      <c r="F90" s="3">
        <v>100</v>
      </c>
      <c r="N90" s="3" t="s">
        <v>34</v>
      </c>
      <c r="O90" s="3">
        <v>75</v>
      </c>
      <c r="P90" s="3" t="s">
        <v>35</v>
      </c>
      <c r="U90" s="3">
        <v>19.7</v>
      </c>
      <c r="V90" s="3" t="s">
        <v>58</v>
      </c>
      <c r="W90" s="3" t="s">
        <v>36</v>
      </c>
      <c r="AG90" s="3">
        <v>100</v>
      </c>
    </row>
    <row r="91" spans="1:462" x14ac:dyDescent="0.3">
      <c r="A91" s="3">
        <v>18</v>
      </c>
      <c r="B91" s="3">
        <v>3</v>
      </c>
      <c r="C91" s="3" t="s">
        <v>33</v>
      </c>
      <c r="F91" s="3">
        <v>100</v>
      </c>
      <c r="N91" s="3" t="s">
        <v>34</v>
      </c>
      <c r="O91" s="3">
        <v>75</v>
      </c>
      <c r="P91" s="3" t="s">
        <v>35</v>
      </c>
      <c r="U91" s="3">
        <v>19.7</v>
      </c>
      <c r="V91" s="3" t="s">
        <v>58</v>
      </c>
      <c r="W91" s="3" t="s">
        <v>36</v>
      </c>
      <c r="AG91" s="3">
        <v>100</v>
      </c>
    </row>
    <row r="92" spans="1:462" s="5" customFormat="1" x14ac:dyDescent="0.3">
      <c r="A92" s="5">
        <v>19</v>
      </c>
      <c r="B92" s="5">
        <v>1</v>
      </c>
      <c r="C92" s="5" t="s">
        <v>33</v>
      </c>
      <c r="F92" s="5">
        <v>100</v>
      </c>
      <c r="N92" s="5" t="s">
        <v>59</v>
      </c>
      <c r="O92" s="5">
        <v>60</v>
      </c>
      <c r="P92" s="5" t="s">
        <v>50</v>
      </c>
      <c r="W92" s="5" t="s">
        <v>36</v>
      </c>
      <c r="AG92" s="5">
        <v>100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</row>
    <row r="93" spans="1:462" s="5" customFormat="1" x14ac:dyDescent="0.3">
      <c r="A93" s="5">
        <v>20</v>
      </c>
      <c r="B93" s="5">
        <v>1</v>
      </c>
      <c r="C93" s="5" t="s">
        <v>33</v>
      </c>
      <c r="D93" s="5" t="s">
        <v>51</v>
      </c>
      <c r="F93" s="5">
        <v>30</v>
      </c>
      <c r="H93" s="5">
        <v>70</v>
      </c>
      <c r="K93" s="5">
        <v>7800</v>
      </c>
      <c r="L93" s="5" t="s">
        <v>40</v>
      </c>
      <c r="M93" s="5">
        <v>0.09</v>
      </c>
      <c r="N93" s="5" t="s">
        <v>34</v>
      </c>
      <c r="O93" s="5">
        <v>160</v>
      </c>
      <c r="P93" s="5" t="s">
        <v>35</v>
      </c>
      <c r="W93" s="5" t="s">
        <v>36</v>
      </c>
      <c r="AG93" s="5">
        <v>100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</row>
    <row r="94" spans="1:462" x14ac:dyDescent="0.3">
      <c r="A94" s="3">
        <v>20</v>
      </c>
      <c r="B94" s="3">
        <v>2</v>
      </c>
      <c r="C94" s="3" t="s">
        <v>33</v>
      </c>
      <c r="D94" s="3" t="s">
        <v>51</v>
      </c>
      <c r="F94" s="3">
        <v>30</v>
      </c>
      <c r="H94" s="3">
        <v>70</v>
      </c>
      <c r="K94" s="3">
        <v>7800</v>
      </c>
      <c r="L94" s="3" t="s">
        <v>40</v>
      </c>
      <c r="M94" s="3">
        <v>0.09</v>
      </c>
      <c r="N94" s="3" t="s">
        <v>34</v>
      </c>
      <c r="O94" s="3">
        <v>160</v>
      </c>
      <c r="P94" s="3" t="s">
        <v>35</v>
      </c>
      <c r="W94" s="3" t="s">
        <v>36</v>
      </c>
      <c r="AG94" s="3">
        <v>100</v>
      </c>
    </row>
    <row r="95" spans="1:462" x14ac:dyDescent="0.3">
      <c r="A95" s="3">
        <v>20</v>
      </c>
      <c r="B95" s="3">
        <v>3</v>
      </c>
      <c r="C95" s="3" t="s">
        <v>33</v>
      </c>
      <c r="D95" s="3" t="s">
        <v>51</v>
      </c>
      <c r="F95" s="3">
        <v>30</v>
      </c>
      <c r="H95" s="3">
        <v>70</v>
      </c>
      <c r="K95" s="3">
        <v>7800</v>
      </c>
      <c r="L95" s="3" t="s">
        <v>40</v>
      </c>
      <c r="M95" s="3">
        <v>0.09</v>
      </c>
      <c r="N95" s="3" t="s">
        <v>34</v>
      </c>
      <c r="O95" s="3">
        <v>160</v>
      </c>
      <c r="P95" s="3" t="s">
        <v>35</v>
      </c>
      <c r="W95" s="3" t="s">
        <v>36</v>
      </c>
      <c r="AG95" s="3">
        <v>100</v>
      </c>
    </row>
    <row r="96" spans="1:462" x14ac:dyDescent="0.3">
      <c r="A96" s="3">
        <v>20</v>
      </c>
      <c r="B96" s="3">
        <v>4</v>
      </c>
      <c r="C96" s="3" t="s">
        <v>33</v>
      </c>
      <c r="D96" s="3" t="s">
        <v>51</v>
      </c>
      <c r="F96" s="3">
        <v>30</v>
      </c>
      <c r="H96" s="3">
        <v>70</v>
      </c>
      <c r="K96" s="3">
        <v>7800</v>
      </c>
      <c r="L96" s="3" t="s">
        <v>40</v>
      </c>
      <c r="M96" s="3">
        <v>0.09</v>
      </c>
      <c r="N96" s="3" t="s">
        <v>34</v>
      </c>
      <c r="O96" s="3">
        <v>160</v>
      </c>
      <c r="P96" s="3" t="s">
        <v>35</v>
      </c>
      <c r="W96" s="3" t="s">
        <v>36</v>
      </c>
      <c r="AG96" s="3">
        <v>100</v>
      </c>
    </row>
    <row r="97" spans="1:33" x14ac:dyDescent="0.3">
      <c r="A97" s="3">
        <v>20</v>
      </c>
      <c r="B97" s="3">
        <v>5</v>
      </c>
      <c r="C97" s="3" t="s">
        <v>33</v>
      </c>
      <c r="D97" s="3" t="s">
        <v>51</v>
      </c>
      <c r="F97" s="3">
        <v>30</v>
      </c>
      <c r="H97" s="3">
        <v>70</v>
      </c>
      <c r="K97" s="3">
        <v>7800</v>
      </c>
      <c r="L97" s="3" t="s">
        <v>40</v>
      </c>
      <c r="M97" s="3">
        <v>0.09</v>
      </c>
      <c r="N97" s="3" t="s">
        <v>34</v>
      </c>
      <c r="O97" s="3">
        <v>160</v>
      </c>
      <c r="P97" s="3" t="s">
        <v>35</v>
      </c>
      <c r="W97" s="3" t="s">
        <v>36</v>
      </c>
      <c r="AG97" s="3">
        <v>100</v>
      </c>
    </row>
    <row r="98" spans="1:33" x14ac:dyDescent="0.3">
      <c r="A98" s="3">
        <v>20</v>
      </c>
      <c r="B98" s="3">
        <v>6</v>
      </c>
      <c r="C98" s="3" t="s">
        <v>33</v>
      </c>
      <c r="D98" s="3" t="s">
        <v>51</v>
      </c>
      <c r="F98" s="3">
        <v>30</v>
      </c>
      <c r="H98" s="3">
        <v>70</v>
      </c>
      <c r="K98" s="3">
        <v>7800</v>
      </c>
      <c r="L98" s="3" t="s">
        <v>40</v>
      </c>
      <c r="M98" s="3">
        <v>0.09</v>
      </c>
      <c r="N98" s="3" t="s">
        <v>34</v>
      </c>
      <c r="O98" s="3">
        <v>160</v>
      </c>
      <c r="P98" s="3" t="s">
        <v>35</v>
      </c>
      <c r="W98" s="3" t="s">
        <v>36</v>
      </c>
      <c r="AG98" s="3">
        <v>100</v>
      </c>
    </row>
    <row r="99" spans="1:33" x14ac:dyDescent="0.3">
      <c r="A99" s="3">
        <v>20</v>
      </c>
      <c r="B99" s="3">
        <v>7</v>
      </c>
      <c r="C99" s="3" t="s">
        <v>33</v>
      </c>
      <c r="D99" s="3" t="s">
        <v>51</v>
      </c>
      <c r="F99" s="3">
        <v>30</v>
      </c>
      <c r="H99" s="3">
        <v>70</v>
      </c>
      <c r="K99" s="3">
        <v>7800</v>
      </c>
      <c r="L99" s="3" t="s">
        <v>40</v>
      </c>
      <c r="M99" s="3">
        <v>0.09</v>
      </c>
      <c r="N99" s="3" t="s">
        <v>34</v>
      </c>
      <c r="O99" s="3">
        <v>160</v>
      </c>
      <c r="P99" s="3" t="s">
        <v>35</v>
      </c>
      <c r="W99" s="3" t="s">
        <v>36</v>
      </c>
      <c r="AG99" s="3">
        <v>100</v>
      </c>
    </row>
    <row r="100" spans="1:33" s="5" customFormat="1" x14ac:dyDescent="0.3">
      <c r="A100" s="5">
        <v>21</v>
      </c>
      <c r="B100" s="5">
        <v>1</v>
      </c>
      <c r="C100" s="5" t="s">
        <v>33</v>
      </c>
      <c r="D100" s="5" t="s">
        <v>37</v>
      </c>
      <c r="N100" s="5" t="s">
        <v>34</v>
      </c>
      <c r="O100" s="5">
        <v>349</v>
      </c>
      <c r="P100" s="5" t="s">
        <v>35</v>
      </c>
      <c r="U100" s="5">
        <v>-17.600000000000001</v>
      </c>
      <c r="V100" s="5" t="s">
        <v>58</v>
      </c>
      <c r="W100" s="5" t="s">
        <v>42</v>
      </c>
      <c r="X100" s="5" t="s">
        <v>60</v>
      </c>
      <c r="Y100" s="5">
        <v>8</v>
      </c>
      <c r="Z100" s="5" t="s">
        <v>61</v>
      </c>
      <c r="AG100" s="5">
        <v>92</v>
      </c>
    </row>
    <row r="101" spans="1:33" s="5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D37C-F0EC-4E5D-970D-B8FBD1309116}">
  <dimension ref="A1:P101"/>
  <sheetViews>
    <sheetView workbookViewId="0">
      <pane ySplit="1" topLeftCell="A77" activePane="bottomLeft" state="frozen"/>
      <selection pane="bottomLeft" sqref="A1:XFD1"/>
    </sheetView>
  </sheetViews>
  <sheetFormatPr defaultColWidth="9.109375" defaultRowHeight="14.4" x14ac:dyDescent="0.3"/>
  <cols>
    <col min="1" max="2" width="9.109375" style="3"/>
    <col min="3" max="3" width="38.5546875" style="3" bestFit="1" customWidth="1"/>
    <col min="4" max="4" width="20.5546875" style="3" bestFit="1" customWidth="1"/>
    <col min="5" max="5" width="19.44140625" style="3" bestFit="1" customWidth="1"/>
    <col min="6" max="6" width="25.88671875" style="3" bestFit="1" customWidth="1"/>
    <col min="7" max="8" width="25.88671875" style="3" customWidth="1"/>
    <col min="9" max="9" width="20.33203125" style="3" bestFit="1" customWidth="1"/>
    <col min="10" max="10" width="35.5546875" style="3" bestFit="1" customWidth="1"/>
    <col min="11" max="11" width="28.33203125" style="3" bestFit="1" customWidth="1"/>
    <col min="12" max="12" width="21" style="3" bestFit="1" customWidth="1"/>
    <col min="13" max="13" width="26.88671875" style="3" bestFit="1" customWidth="1"/>
    <col min="14" max="14" width="18.88671875" style="3" bestFit="1" customWidth="1"/>
    <col min="15" max="15" width="24.5546875" style="3" bestFit="1" customWidth="1"/>
    <col min="16" max="20" width="24.5546875" style="3" customWidth="1"/>
    <col min="21" max="21" width="28.5546875" style="3" bestFit="1" customWidth="1"/>
    <col min="22" max="22" width="34.33203125" style="3" bestFit="1" customWidth="1"/>
    <col min="23" max="23" width="20" style="3" bestFit="1" customWidth="1"/>
    <col min="24" max="24" width="25.6640625" style="3" bestFit="1" customWidth="1"/>
    <col min="25" max="25" width="20.33203125" style="3" bestFit="1" customWidth="1"/>
    <col min="26" max="26" width="30.33203125" style="3" bestFit="1" customWidth="1"/>
    <col min="27" max="28" width="30.33203125" style="3" customWidth="1"/>
    <col min="29" max="29" width="21.6640625" style="3" bestFit="1" customWidth="1"/>
    <col min="30" max="30" width="22.88671875" style="3" bestFit="1" customWidth="1"/>
    <col min="31" max="31" width="41.6640625" style="3" bestFit="1" customWidth="1"/>
    <col min="32" max="32" width="24" style="3" bestFit="1" customWidth="1"/>
    <col min="33" max="36" width="9.109375" style="3"/>
    <col min="37" max="37" width="12.44140625" style="3" bestFit="1" customWidth="1"/>
    <col min="38" max="38" width="18.33203125" style="3" bestFit="1" customWidth="1"/>
    <col min="39" max="39" width="15" style="3" bestFit="1" customWidth="1"/>
    <col min="40" max="40" width="9.33203125" style="3" customWidth="1"/>
    <col min="41" max="41" width="15.88671875" style="3" bestFit="1" customWidth="1"/>
    <col min="42" max="42" width="22.88671875" style="3" bestFit="1" customWidth="1"/>
    <col min="43" max="16384" width="9.109375" style="3"/>
  </cols>
  <sheetData>
    <row r="1" spans="1:16" s="6" customFormat="1" x14ac:dyDescent="0.3">
      <c r="A1" s="1" t="s">
        <v>0</v>
      </c>
      <c r="B1" s="2" t="s">
        <v>1</v>
      </c>
      <c r="C1" s="6" t="s">
        <v>62</v>
      </c>
      <c r="D1" s="6" t="s">
        <v>63</v>
      </c>
      <c r="E1" s="6" t="s">
        <v>64</v>
      </c>
      <c r="F1" s="6" t="s">
        <v>65</v>
      </c>
      <c r="G1" s="6" t="s">
        <v>257</v>
      </c>
      <c r="H1" s="6" t="s">
        <v>258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70</v>
      </c>
      <c r="N1" s="6" t="s">
        <v>71</v>
      </c>
      <c r="O1" s="6" t="s">
        <v>72</v>
      </c>
      <c r="P1" s="6" t="s">
        <v>253</v>
      </c>
    </row>
    <row r="2" spans="1:16" x14ac:dyDescent="0.3">
      <c r="A2" s="3">
        <v>1</v>
      </c>
      <c r="B2" s="3">
        <v>1</v>
      </c>
      <c r="C2" s="3" t="s">
        <v>73</v>
      </c>
      <c r="D2" s="3" t="s">
        <v>74</v>
      </c>
      <c r="I2" s="3" t="s">
        <v>75</v>
      </c>
      <c r="K2" s="3" t="s">
        <v>76</v>
      </c>
      <c r="L2" s="3">
        <v>125</v>
      </c>
      <c r="M2" s="3" t="s">
        <v>77</v>
      </c>
      <c r="N2" s="3">
        <v>24</v>
      </c>
      <c r="O2" s="3" t="s">
        <v>78</v>
      </c>
      <c r="P2" s="3" t="s">
        <v>79</v>
      </c>
    </row>
    <row r="3" spans="1:16" x14ac:dyDescent="0.3">
      <c r="A3" s="3">
        <v>1</v>
      </c>
      <c r="B3" s="3">
        <v>2</v>
      </c>
      <c r="C3" s="3" t="s">
        <v>73</v>
      </c>
      <c r="D3" s="3" t="s">
        <v>74</v>
      </c>
      <c r="I3" s="3" t="s">
        <v>75</v>
      </c>
      <c r="K3" s="3" t="s">
        <v>76</v>
      </c>
      <c r="L3" s="3">
        <v>250</v>
      </c>
      <c r="M3" s="3" t="s">
        <v>77</v>
      </c>
      <c r="N3" s="3">
        <v>24</v>
      </c>
      <c r="O3" s="3" t="s">
        <v>78</v>
      </c>
      <c r="P3" s="3" t="s">
        <v>79</v>
      </c>
    </row>
    <row r="4" spans="1:16" x14ac:dyDescent="0.3">
      <c r="A4" s="3">
        <v>1</v>
      </c>
      <c r="B4" s="3">
        <v>3</v>
      </c>
      <c r="C4" s="3" t="s">
        <v>73</v>
      </c>
      <c r="D4" s="3" t="s">
        <v>74</v>
      </c>
      <c r="I4" s="3" t="s">
        <v>75</v>
      </c>
      <c r="K4" s="3" t="s">
        <v>76</v>
      </c>
      <c r="L4" s="3">
        <v>500</v>
      </c>
      <c r="M4" s="3" t="s">
        <v>77</v>
      </c>
      <c r="N4" s="3">
        <v>24</v>
      </c>
      <c r="O4" s="3" t="s">
        <v>78</v>
      </c>
      <c r="P4" s="3" t="s">
        <v>79</v>
      </c>
    </row>
    <row r="5" spans="1:16" x14ac:dyDescent="0.3">
      <c r="A5" s="3">
        <v>1</v>
      </c>
      <c r="B5" s="3">
        <v>4</v>
      </c>
      <c r="C5" s="3" t="s">
        <v>73</v>
      </c>
      <c r="D5" s="3" t="s">
        <v>74</v>
      </c>
      <c r="I5" s="3" t="s">
        <v>75</v>
      </c>
      <c r="K5" s="3" t="s">
        <v>76</v>
      </c>
      <c r="L5" s="3">
        <v>1000</v>
      </c>
      <c r="M5" s="3" t="s">
        <v>77</v>
      </c>
      <c r="N5" s="3">
        <v>24</v>
      </c>
      <c r="O5" s="3" t="s">
        <v>78</v>
      </c>
      <c r="P5" s="3" t="s">
        <v>79</v>
      </c>
    </row>
    <row r="6" spans="1:16" x14ac:dyDescent="0.3">
      <c r="A6" s="3">
        <v>1</v>
      </c>
      <c r="B6" s="3">
        <v>5</v>
      </c>
      <c r="C6" s="3" t="s">
        <v>73</v>
      </c>
      <c r="D6" s="3" t="s">
        <v>74</v>
      </c>
      <c r="I6" s="3" t="s">
        <v>75</v>
      </c>
      <c r="K6" s="3" t="s">
        <v>76</v>
      </c>
      <c r="L6" s="3">
        <v>1500</v>
      </c>
      <c r="M6" s="3" t="s">
        <v>77</v>
      </c>
      <c r="N6" s="3">
        <v>24</v>
      </c>
      <c r="O6" s="3" t="s">
        <v>78</v>
      </c>
      <c r="P6" s="3" t="s">
        <v>79</v>
      </c>
    </row>
    <row r="7" spans="1:16" x14ac:dyDescent="0.3">
      <c r="A7" s="3">
        <v>1</v>
      </c>
      <c r="B7" s="3">
        <v>6</v>
      </c>
      <c r="C7" s="3" t="s">
        <v>73</v>
      </c>
      <c r="D7" s="3" t="s">
        <v>74</v>
      </c>
      <c r="I7" s="3" t="s">
        <v>75</v>
      </c>
      <c r="K7" s="3" t="s">
        <v>76</v>
      </c>
      <c r="L7" s="3">
        <v>2000</v>
      </c>
      <c r="M7" s="3" t="s">
        <v>77</v>
      </c>
      <c r="N7" s="3">
        <v>24</v>
      </c>
      <c r="O7" s="3" t="s">
        <v>78</v>
      </c>
      <c r="P7" s="3" t="s">
        <v>79</v>
      </c>
    </row>
    <row r="8" spans="1:16" s="5" customFormat="1" x14ac:dyDescent="0.3">
      <c r="A8" s="5">
        <v>2</v>
      </c>
      <c r="B8" s="5">
        <v>1</v>
      </c>
      <c r="C8" s="5" t="s">
        <v>80</v>
      </c>
      <c r="D8" s="5" t="s">
        <v>81</v>
      </c>
      <c r="I8" s="5" t="s">
        <v>83</v>
      </c>
      <c r="J8" s="5" t="s">
        <v>84</v>
      </c>
      <c r="K8" s="5" t="s">
        <v>76</v>
      </c>
      <c r="L8" s="5">
        <v>1E-3</v>
      </c>
      <c r="M8" s="5" t="s">
        <v>85</v>
      </c>
      <c r="N8" s="5">
        <v>8</v>
      </c>
      <c r="O8" s="5" t="s">
        <v>86</v>
      </c>
      <c r="P8" s="5" t="s">
        <v>90</v>
      </c>
    </row>
    <row r="9" spans="1:16" x14ac:dyDescent="0.3">
      <c r="A9" s="3">
        <v>2</v>
      </c>
      <c r="B9" s="3">
        <v>2</v>
      </c>
      <c r="C9" s="3" t="s">
        <v>80</v>
      </c>
      <c r="D9" s="3" t="s">
        <v>81</v>
      </c>
      <c r="I9" s="3" t="s">
        <v>83</v>
      </c>
      <c r="J9" s="3" t="s">
        <v>84</v>
      </c>
      <c r="K9" s="3" t="s">
        <v>76</v>
      </c>
      <c r="L9" s="3">
        <v>0.01</v>
      </c>
      <c r="M9" s="3" t="s">
        <v>85</v>
      </c>
      <c r="N9" s="3">
        <v>8</v>
      </c>
      <c r="O9" s="3" t="s">
        <v>86</v>
      </c>
      <c r="P9" s="3" t="s">
        <v>90</v>
      </c>
    </row>
    <row r="10" spans="1:16" x14ac:dyDescent="0.3">
      <c r="A10" s="3">
        <v>2</v>
      </c>
      <c r="B10" s="3">
        <v>3</v>
      </c>
      <c r="C10" s="3" t="s">
        <v>80</v>
      </c>
      <c r="D10" s="3" t="s">
        <v>81</v>
      </c>
      <c r="I10" s="3" t="s">
        <v>83</v>
      </c>
      <c r="J10" s="3" t="s">
        <v>84</v>
      </c>
      <c r="K10" s="3" t="s">
        <v>76</v>
      </c>
      <c r="L10" s="3">
        <v>0.1</v>
      </c>
      <c r="M10" s="3" t="s">
        <v>85</v>
      </c>
      <c r="N10" s="3">
        <v>8</v>
      </c>
      <c r="O10" s="3" t="s">
        <v>86</v>
      </c>
      <c r="P10" s="3" t="s">
        <v>90</v>
      </c>
    </row>
    <row r="11" spans="1:16" x14ac:dyDescent="0.3">
      <c r="A11" s="3">
        <v>2</v>
      </c>
      <c r="B11" s="3">
        <v>4</v>
      </c>
      <c r="C11" s="3" t="s">
        <v>80</v>
      </c>
      <c r="D11" s="3" t="s">
        <v>81</v>
      </c>
      <c r="I11" s="3" t="s">
        <v>83</v>
      </c>
      <c r="J11" s="3" t="s">
        <v>84</v>
      </c>
      <c r="K11" s="3" t="s">
        <v>76</v>
      </c>
      <c r="L11" s="3">
        <v>1</v>
      </c>
      <c r="M11" s="3" t="s">
        <v>85</v>
      </c>
      <c r="N11" s="3">
        <v>8</v>
      </c>
      <c r="O11" s="3" t="s">
        <v>86</v>
      </c>
      <c r="P11" s="3" t="s">
        <v>90</v>
      </c>
    </row>
    <row r="12" spans="1:16" x14ac:dyDescent="0.3">
      <c r="A12" s="3">
        <v>2</v>
      </c>
      <c r="B12" s="3">
        <v>5</v>
      </c>
      <c r="C12" s="3" t="s">
        <v>80</v>
      </c>
      <c r="D12" s="3" t="s">
        <v>81</v>
      </c>
      <c r="I12" s="3" t="s">
        <v>83</v>
      </c>
      <c r="J12" s="3" t="s">
        <v>84</v>
      </c>
      <c r="K12" s="3" t="s">
        <v>76</v>
      </c>
      <c r="L12" s="3">
        <v>10</v>
      </c>
      <c r="M12" s="3" t="s">
        <v>85</v>
      </c>
      <c r="N12" s="3">
        <v>8</v>
      </c>
      <c r="O12" s="3" t="s">
        <v>86</v>
      </c>
      <c r="P12" s="3" t="s">
        <v>90</v>
      </c>
    </row>
    <row r="13" spans="1:16" s="5" customFormat="1" x14ac:dyDescent="0.3">
      <c r="A13" s="5">
        <v>3</v>
      </c>
      <c r="B13" s="5">
        <v>1</v>
      </c>
      <c r="C13" s="5" t="s">
        <v>87</v>
      </c>
      <c r="D13" s="5" t="s">
        <v>256</v>
      </c>
      <c r="J13" s="5" t="s">
        <v>88</v>
      </c>
      <c r="L13" s="5">
        <v>1</v>
      </c>
      <c r="M13" s="5" t="s">
        <v>89</v>
      </c>
      <c r="N13" s="5">
        <v>28</v>
      </c>
      <c r="O13" s="5" t="s">
        <v>86</v>
      </c>
      <c r="P13" s="5" t="s">
        <v>90</v>
      </c>
    </row>
    <row r="14" spans="1:16" x14ac:dyDescent="0.3">
      <c r="A14" s="3">
        <v>3</v>
      </c>
      <c r="B14" s="3">
        <v>2</v>
      </c>
      <c r="C14" s="3" t="s">
        <v>87</v>
      </c>
      <c r="D14" s="3" t="s">
        <v>256</v>
      </c>
      <c r="J14" s="3" t="s">
        <v>88</v>
      </c>
      <c r="L14" s="3">
        <v>5</v>
      </c>
      <c r="M14" s="3" t="s">
        <v>89</v>
      </c>
      <c r="N14" s="3">
        <v>28</v>
      </c>
      <c r="O14" s="3" t="s">
        <v>86</v>
      </c>
      <c r="P14" s="3" t="s">
        <v>90</v>
      </c>
    </row>
    <row r="15" spans="1:16" x14ac:dyDescent="0.3">
      <c r="A15" s="3">
        <v>3</v>
      </c>
      <c r="B15" s="3">
        <v>3</v>
      </c>
      <c r="C15" s="3" t="s">
        <v>87</v>
      </c>
      <c r="D15" s="3" t="s">
        <v>256</v>
      </c>
      <c r="J15" s="3" t="s">
        <v>88</v>
      </c>
      <c r="L15" s="3">
        <v>25</v>
      </c>
      <c r="M15" s="3" t="s">
        <v>89</v>
      </c>
      <c r="N15" s="3">
        <v>28</v>
      </c>
      <c r="O15" s="3" t="s">
        <v>86</v>
      </c>
      <c r="P15" s="3" t="s">
        <v>90</v>
      </c>
    </row>
    <row r="16" spans="1:16" x14ac:dyDescent="0.3">
      <c r="A16" s="3">
        <v>3</v>
      </c>
      <c r="B16" s="3">
        <v>4</v>
      </c>
      <c r="C16" s="3" t="s">
        <v>87</v>
      </c>
      <c r="D16" s="3" t="s">
        <v>256</v>
      </c>
      <c r="J16" s="3" t="s">
        <v>88</v>
      </c>
      <c r="L16" s="3">
        <v>125</v>
      </c>
      <c r="M16" s="3" t="s">
        <v>89</v>
      </c>
      <c r="N16" s="3">
        <v>28</v>
      </c>
      <c r="O16" s="3" t="s">
        <v>86</v>
      </c>
      <c r="P16" s="3" t="s">
        <v>90</v>
      </c>
    </row>
    <row r="17" spans="1:16" x14ac:dyDescent="0.3">
      <c r="A17" s="3">
        <v>3</v>
      </c>
      <c r="B17" s="3">
        <v>5</v>
      </c>
      <c r="C17" s="3" t="s">
        <v>87</v>
      </c>
      <c r="D17" s="3" t="s">
        <v>256</v>
      </c>
      <c r="J17" s="3" t="s">
        <v>88</v>
      </c>
      <c r="L17" s="3">
        <v>1</v>
      </c>
      <c r="M17" s="3" t="s">
        <v>89</v>
      </c>
      <c r="N17" s="3">
        <v>56</v>
      </c>
      <c r="O17" s="3" t="s">
        <v>86</v>
      </c>
      <c r="P17" s="3" t="s">
        <v>90</v>
      </c>
    </row>
    <row r="18" spans="1:16" x14ac:dyDescent="0.3">
      <c r="A18" s="3">
        <v>3</v>
      </c>
      <c r="B18" s="3">
        <v>6</v>
      </c>
      <c r="C18" s="3" t="s">
        <v>87</v>
      </c>
      <c r="D18" s="3" t="s">
        <v>256</v>
      </c>
      <c r="J18" s="3" t="s">
        <v>88</v>
      </c>
      <c r="L18" s="3">
        <v>5</v>
      </c>
      <c r="M18" s="3" t="s">
        <v>89</v>
      </c>
      <c r="N18" s="3">
        <v>56</v>
      </c>
      <c r="O18" s="3" t="s">
        <v>86</v>
      </c>
      <c r="P18" s="3" t="s">
        <v>90</v>
      </c>
    </row>
    <row r="19" spans="1:16" x14ac:dyDescent="0.3">
      <c r="A19" s="3">
        <v>3</v>
      </c>
      <c r="B19" s="3">
        <v>7</v>
      </c>
      <c r="C19" s="3" t="s">
        <v>87</v>
      </c>
      <c r="D19" s="3" t="s">
        <v>256</v>
      </c>
      <c r="J19" s="3" t="s">
        <v>88</v>
      </c>
      <c r="L19" s="3">
        <v>25</v>
      </c>
      <c r="M19" s="3" t="s">
        <v>89</v>
      </c>
      <c r="N19" s="3">
        <v>56</v>
      </c>
      <c r="O19" s="3" t="s">
        <v>86</v>
      </c>
      <c r="P19" s="3" t="s">
        <v>90</v>
      </c>
    </row>
    <row r="20" spans="1:16" x14ac:dyDescent="0.3">
      <c r="A20" s="3">
        <v>3</v>
      </c>
      <c r="B20" s="3">
        <v>8</v>
      </c>
      <c r="C20" s="3" t="s">
        <v>87</v>
      </c>
      <c r="D20" s="3" t="s">
        <v>256</v>
      </c>
      <c r="J20" s="3" t="s">
        <v>88</v>
      </c>
      <c r="L20" s="3">
        <v>125</v>
      </c>
      <c r="M20" s="3" t="s">
        <v>89</v>
      </c>
      <c r="N20" s="3">
        <v>56</v>
      </c>
      <c r="O20" s="3" t="s">
        <v>86</v>
      </c>
      <c r="P20" s="3" t="s">
        <v>90</v>
      </c>
    </row>
    <row r="21" spans="1:16" s="5" customFormat="1" x14ac:dyDescent="0.3">
      <c r="A21" s="5">
        <v>4</v>
      </c>
      <c r="B21" s="5">
        <v>1</v>
      </c>
      <c r="C21" s="5" t="s">
        <v>91</v>
      </c>
      <c r="D21" s="5" t="s">
        <v>92</v>
      </c>
      <c r="I21" s="5" t="s">
        <v>93</v>
      </c>
      <c r="J21" s="5" t="s">
        <v>94</v>
      </c>
      <c r="K21" s="5" t="s">
        <v>76</v>
      </c>
      <c r="N21" s="5">
        <v>3</v>
      </c>
      <c r="O21" s="5" t="s">
        <v>86</v>
      </c>
      <c r="P21" s="5" t="s">
        <v>79</v>
      </c>
    </row>
    <row r="22" spans="1:16" x14ac:dyDescent="0.3">
      <c r="A22" s="3">
        <v>4</v>
      </c>
      <c r="B22" s="3">
        <v>2</v>
      </c>
      <c r="C22" s="3" t="s">
        <v>91</v>
      </c>
      <c r="D22" s="3" t="s">
        <v>92</v>
      </c>
      <c r="I22" s="3" t="s">
        <v>93</v>
      </c>
      <c r="J22" s="3" t="s">
        <v>94</v>
      </c>
      <c r="K22" s="3" t="s">
        <v>76</v>
      </c>
      <c r="N22" s="3">
        <v>3</v>
      </c>
      <c r="O22" s="3" t="s">
        <v>86</v>
      </c>
      <c r="P22" s="3" t="s">
        <v>79</v>
      </c>
    </row>
    <row r="23" spans="1:16" x14ac:dyDescent="0.3">
      <c r="A23" s="3">
        <v>4</v>
      </c>
      <c r="B23" s="3">
        <v>3</v>
      </c>
      <c r="C23" s="3" t="s">
        <v>91</v>
      </c>
      <c r="D23" s="3" t="s">
        <v>92</v>
      </c>
      <c r="I23" s="3" t="s">
        <v>93</v>
      </c>
      <c r="J23" s="3" t="s">
        <v>94</v>
      </c>
      <c r="K23" s="3" t="s">
        <v>76</v>
      </c>
      <c r="N23" s="3">
        <v>3</v>
      </c>
      <c r="O23" s="3" t="s">
        <v>86</v>
      </c>
      <c r="P23" s="3" t="s">
        <v>79</v>
      </c>
    </row>
    <row r="24" spans="1:16" x14ac:dyDescent="0.3">
      <c r="A24" s="3">
        <v>4</v>
      </c>
      <c r="B24" s="3">
        <v>4</v>
      </c>
      <c r="C24" s="3" t="s">
        <v>91</v>
      </c>
      <c r="D24" s="3" t="s">
        <v>92</v>
      </c>
      <c r="I24" s="3" t="s">
        <v>93</v>
      </c>
      <c r="J24" s="3" t="s">
        <v>94</v>
      </c>
      <c r="K24" s="3" t="s">
        <v>76</v>
      </c>
      <c r="N24" s="3">
        <v>3</v>
      </c>
      <c r="O24" s="3" t="s">
        <v>86</v>
      </c>
      <c r="P24" s="3" t="s">
        <v>79</v>
      </c>
    </row>
    <row r="25" spans="1:16" x14ac:dyDescent="0.3">
      <c r="A25" s="3">
        <v>4</v>
      </c>
      <c r="B25" s="3">
        <v>5</v>
      </c>
      <c r="C25" s="3" t="s">
        <v>91</v>
      </c>
      <c r="D25" s="3" t="s">
        <v>92</v>
      </c>
      <c r="I25" s="3" t="s">
        <v>93</v>
      </c>
      <c r="J25" s="3" t="s">
        <v>94</v>
      </c>
      <c r="K25" s="3" t="s">
        <v>76</v>
      </c>
      <c r="N25" s="3">
        <v>3</v>
      </c>
      <c r="O25" s="3" t="s">
        <v>86</v>
      </c>
      <c r="P25" s="3" t="s">
        <v>79</v>
      </c>
    </row>
    <row r="26" spans="1:16" x14ac:dyDescent="0.3">
      <c r="A26" s="3">
        <v>4</v>
      </c>
      <c r="B26" s="3">
        <v>6</v>
      </c>
      <c r="C26" s="3" t="s">
        <v>91</v>
      </c>
      <c r="D26" s="3" t="s">
        <v>92</v>
      </c>
      <c r="I26" s="3" t="s">
        <v>93</v>
      </c>
      <c r="J26" s="3" t="s">
        <v>95</v>
      </c>
      <c r="K26" s="3" t="s">
        <v>76</v>
      </c>
      <c r="N26" s="3">
        <v>3</v>
      </c>
      <c r="O26" s="3" t="s">
        <v>86</v>
      </c>
      <c r="P26" s="3" t="s">
        <v>79</v>
      </c>
    </row>
    <row r="27" spans="1:16" x14ac:dyDescent="0.3">
      <c r="A27" s="3">
        <v>4</v>
      </c>
      <c r="B27" s="3">
        <v>7</v>
      </c>
      <c r="C27" s="3" t="s">
        <v>91</v>
      </c>
      <c r="D27" s="3" t="s">
        <v>92</v>
      </c>
      <c r="I27" s="3" t="s">
        <v>93</v>
      </c>
      <c r="J27" s="3" t="s">
        <v>95</v>
      </c>
      <c r="K27" s="3" t="s">
        <v>76</v>
      </c>
      <c r="N27" s="3">
        <v>3</v>
      </c>
      <c r="O27" s="3" t="s">
        <v>86</v>
      </c>
      <c r="P27" s="3" t="s">
        <v>79</v>
      </c>
    </row>
    <row r="28" spans="1:16" x14ac:dyDescent="0.3">
      <c r="A28" s="3">
        <v>4</v>
      </c>
      <c r="B28" s="3">
        <v>8</v>
      </c>
      <c r="C28" s="3" t="s">
        <v>91</v>
      </c>
      <c r="D28" s="3" t="s">
        <v>92</v>
      </c>
      <c r="I28" s="3" t="s">
        <v>93</v>
      </c>
      <c r="J28" s="3" t="s">
        <v>95</v>
      </c>
      <c r="K28" s="3" t="s">
        <v>76</v>
      </c>
      <c r="N28" s="3">
        <v>3</v>
      </c>
      <c r="O28" s="3" t="s">
        <v>86</v>
      </c>
      <c r="P28" s="3" t="s">
        <v>79</v>
      </c>
    </row>
    <row r="29" spans="1:16" x14ac:dyDescent="0.3">
      <c r="A29" s="3">
        <v>4</v>
      </c>
      <c r="B29" s="3">
        <v>9</v>
      </c>
      <c r="C29" s="3" t="s">
        <v>91</v>
      </c>
      <c r="D29" s="3" t="s">
        <v>92</v>
      </c>
      <c r="I29" s="3" t="s">
        <v>93</v>
      </c>
      <c r="J29" s="3" t="s">
        <v>95</v>
      </c>
      <c r="K29" s="3" t="s">
        <v>76</v>
      </c>
      <c r="N29" s="3">
        <v>3</v>
      </c>
      <c r="O29" s="3" t="s">
        <v>86</v>
      </c>
      <c r="P29" s="3" t="s">
        <v>79</v>
      </c>
    </row>
    <row r="30" spans="1:16" x14ac:dyDescent="0.3">
      <c r="A30" s="3">
        <v>4</v>
      </c>
      <c r="B30" s="3">
        <v>10</v>
      </c>
      <c r="C30" s="3" t="s">
        <v>91</v>
      </c>
      <c r="D30" s="3" t="s">
        <v>92</v>
      </c>
      <c r="I30" s="3" t="s">
        <v>93</v>
      </c>
      <c r="J30" s="3" t="s">
        <v>95</v>
      </c>
      <c r="K30" s="3" t="s">
        <v>76</v>
      </c>
      <c r="L30" s="11"/>
      <c r="N30" s="3">
        <v>3</v>
      </c>
      <c r="O30" s="3" t="s">
        <v>86</v>
      </c>
      <c r="P30" s="3" t="s">
        <v>79</v>
      </c>
    </row>
    <row r="31" spans="1:16" s="5" customFormat="1" x14ac:dyDescent="0.3">
      <c r="A31" s="5">
        <v>5</v>
      </c>
      <c r="B31" s="5">
        <v>1</v>
      </c>
      <c r="C31" s="5" t="s">
        <v>96</v>
      </c>
      <c r="D31" s="5" t="s">
        <v>81</v>
      </c>
      <c r="G31" s="5">
        <v>218</v>
      </c>
      <c r="H31" s="5" t="s">
        <v>50</v>
      </c>
      <c r="J31" s="5" t="s">
        <v>97</v>
      </c>
      <c r="K31" s="5" t="s">
        <v>76</v>
      </c>
      <c r="L31" s="3">
        <v>0.33</v>
      </c>
      <c r="M31" s="5" t="s">
        <v>98</v>
      </c>
      <c r="N31" s="5">
        <v>2</v>
      </c>
      <c r="O31" s="5" t="s">
        <v>86</v>
      </c>
      <c r="P31" s="5" t="s">
        <v>79</v>
      </c>
    </row>
    <row r="32" spans="1:16" x14ac:dyDescent="0.3">
      <c r="A32" s="3">
        <v>5</v>
      </c>
      <c r="B32" s="3">
        <v>2</v>
      </c>
      <c r="C32" s="3" t="s">
        <v>96</v>
      </c>
      <c r="D32" s="3" t="s">
        <v>81</v>
      </c>
      <c r="G32" s="3">
        <v>218</v>
      </c>
      <c r="H32" s="3" t="s">
        <v>50</v>
      </c>
      <c r="J32" s="3" t="s">
        <v>97</v>
      </c>
      <c r="K32" s="3" t="s">
        <v>76</v>
      </c>
      <c r="L32" s="3">
        <v>1</v>
      </c>
      <c r="M32" s="3" t="s">
        <v>98</v>
      </c>
      <c r="N32" s="3">
        <v>2</v>
      </c>
      <c r="O32" s="3" t="s">
        <v>86</v>
      </c>
      <c r="P32" s="3" t="s">
        <v>79</v>
      </c>
    </row>
    <row r="33" spans="1:16" x14ac:dyDescent="0.3">
      <c r="A33" s="3">
        <v>5</v>
      </c>
      <c r="B33" s="3">
        <v>3</v>
      </c>
      <c r="C33" s="3" t="s">
        <v>96</v>
      </c>
      <c r="D33" s="3" t="s">
        <v>81</v>
      </c>
      <c r="G33" s="3">
        <v>218</v>
      </c>
      <c r="H33" s="3" t="s">
        <v>50</v>
      </c>
      <c r="J33" s="3" t="s">
        <v>97</v>
      </c>
      <c r="K33" s="3" t="s">
        <v>76</v>
      </c>
      <c r="L33" s="3">
        <v>3.33</v>
      </c>
      <c r="M33" s="3" t="s">
        <v>98</v>
      </c>
      <c r="N33" s="3">
        <v>2</v>
      </c>
      <c r="O33" s="3" t="s">
        <v>86</v>
      </c>
      <c r="P33" s="3" t="s">
        <v>79</v>
      </c>
    </row>
    <row r="34" spans="1:16" x14ac:dyDescent="0.3">
      <c r="A34" s="3">
        <v>5</v>
      </c>
      <c r="B34" s="3">
        <v>4</v>
      </c>
      <c r="C34" s="3" t="s">
        <v>96</v>
      </c>
      <c r="D34" s="3" t="s">
        <v>81</v>
      </c>
      <c r="G34" s="3">
        <v>218</v>
      </c>
      <c r="H34" s="3" t="s">
        <v>50</v>
      </c>
      <c r="J34" s="3" t="s">
        <v>97</v>
      </c>
      <c r="K34" s="3" t="s">
        <v>76</v>
      </c>
      <c r="L34" s="3">
        <v>10</v>
      </c>
      <c r="M34" s="3" t="s">
        <v>98</v>
      </c>
      <c r="N34" s="3">
        <v>2</v>
      </c>
      <c r="O34" s="3" t="s">
        <v>86</v>
      </c>
      <c r="P34" s="3" t="s">
        <v>79</v>
      </c>
    </row>
    <row r="35" spans="1:16" s="5" customFormat="1" x14ac:dyDescent="0.3">
      <c r="A35" s="5">
        <v>6</v>
      </c>
      <c r="B35" s="5">
        <v>1</v>
      </c>
      <c r="C35" s="5" t="s">
        <v>261</v>
      </c>
      <c r="D35" s="5" t="s">
        <v>81</v>
      </c>
      <c r="I35" s="5" t="s">
        <v>83</v>
      </c>
      <c r="J35" s="5" t="s">
        <v>99</v>
      </c>
      <c r="K35" s="5" t="s">
        <v>76</v>
      </c>
      <c r="L35" s="5">
        <v>100</v>
      </c>
      <c r="M35" s="5" t="s">
        <v>85</v>
      </c>
      <c r="N35" s="5">
        <v>4</v>
      </c>
      <c r="O35" s="5" t="s">
        <v>86</v>
      </c>
      <c r="P35" s="5" t="s">
        <v>79</v>
      </c>
    </row>
    <row r="36" spans="1:16" x14ac:dyDescent="0.3">
      <c r="A36" s="3">
        <v>6</v>
      </c>
      <c r="B36" s="3">
        <v>2</v>
      </c>
      <c r="C36" s="3" t="s">
        <v>261</v>
      </c>
      <c r="D36" s="3" t="s">
        <v>81</v>
      </c>
      <c r="I36" s="3" t="s">
        <v>83</v>
      </c>
      <c r="J36" s="3" t="s">
        <v>99</v>
      </c>
      <c r="K36" s="3" t="s">
        <v>76</v>
      </c>
      <c r="L36" s="3">
        <v>500</v>
      </c>
      <c r="M36" s="3" t="s">
        <v>85</v>
      </c>
      <c r="N36" s="3">
        <v>4</v>
      </c>
      <c r="O36" s="3" t="s">
        <v>86</v>
      </c>
      <c r="P36" s="3" t="s">
        <v>79</v>
      </c>
    </row>
    <row r="37" spans="1:16" x14ac:dyDescent="0.3">
      <c r="A37" s="3">
        <v>6</v>
      </c>
      <c r="B37" s="3">
        <v>3</v>
      </c>
      <c r="C37" s="3" t="s">
        <v>261</v>
      </c>
      <c r="D37" s="3" t="s">
        <v>81</v>
      </c>
      <c r="I37" s="3" t="s">
        <v>83</v>
      </c>
      <c r="J37" s="3" t="s">
        <v>99</v>
      </c>
      <c r="K37" s="3" t="s">
        <v>76</v>
      </c>
      <c r="L37" s="3">
        <v>1000</v>
      </c>
      <c r="M37" s="3" t="s">
        <v>85</v>
      </c>
      <c r="N37" s="3">
        <v>4</v>
      </c>
      <c r="O37" s="3" t="s">
        <v>86</v>
      </c>
      <c r="P37" s="3" t="s">
        <v>79</v>
      </c>
    </row>
    <row r="38" spans="1:16" x14ac:dyDescent="0.3">
      <c r="A38" s="3">
        <v>6</v>
      </c>
      <c r="B38" s="3">
        <v>4</v>
      </c>
      <c r="C38" s="3" t="s">
        <v>261</v>
      </c>
      <c r="D38" s="3" t="s">
        <v>81</v>
      </c>
      <c r="G38" s="3">
        <v>12.3</v>
      </c>
      <c r="H38" s="3" t="s">
        <v>100</v>
      </c>
      <c r="I38" s="3" t="s">
        <v>262</v>
      </c>
      <c r="J38" s="3" t="s">
        <v>99</v>
      </c>
      <c r="K38" s="3" t="s">
        <v>76</v>
      </c>
      <c r="L38" s="3">
        <v>0.5</v>
      </c>
      <c r="M38" s="3" t="s">
        <v>89</v>
      </c>
      <c r="N38" s="3">
        <v>60</v>
      </c>
      <c r="O38" s="3" t="s">
        <v>86</v>
      </c>
      <c r="P38" s="3" t="s">
        <v>90</v>
      </c>
    </row>
    <row r="39" spans="1:16" x14ac:dyDescent="0.3">
      <c r="A39" s="3">
        <v>6</v>
      </c>
      <c r="B39" s="3">
        <v>5</v>
      </c>
      <c r="C39" s="3" t="s">
        <v>261</v>
      </c>
      <c r="D39" s="3" t="s">
        <v>81</v>
      </c>
      <c r="G39" s="3">
        <v>12.3</v>
      </c>
      <c r="H39" s="3" t="s">
        <v>100</v>
      </c>
      <c r="I39" s="3" t="s">
        <v>262</v>
      </c>
      <c r="J39" s="3" t="s">
        <v>99</v>
      </c>
      <c r="K39" s="3" t="s">
        <v>76</v>
      </c>
      <c r="L39" s="3">
        <v>1</v>
      </c>
      <c r="M39" s="3" t="s">
        <v>89</v>
      </c>
      <c r="N39" s="3">
        <v>60</v>
      </c>
      <c r="O39" s="3" t="s">
        <v>86</v>
      </c>
      <c r="P39" s="3" t="s">
        <v>90</v>
      </c>
    </row>
    <row r="40" spans="1:16" x14ac:dyDescent="0.3">
      <c r="A40" s="3">
        <v>6</v>
      </c>
      <c r="B40" s="3">
        <v>6</v>
      </c>
      <c r="C40" s="3" t="s">
        <v>261</v>
      </c>
      <c r="D40" s="3" t="s">
        <v>81</v>
      </c>
      <c r="G40" s="3">
        <v>12.3</v>
      </c>
      <c r="H40" s="3" t="s">
        <v>100</v>
      </c>
      <c r="I40" s="3" t="s">
        <v>262</v>
      </c>
      <c r="J40" s="3" t="s">
        <v>99</v>
      </c>
      <c r="K40" s="3" t="s">
        <v>76</v>
      </c>
      <c r="L40" s="3">
        <v>2</v>
      </c>
      <c r="M40" s="3" t="s">
        <v>89</v>
      </c>
      <c r="N40" s="3">
        <v>60</v>
      </c>
      <c r="O40" s="3" t="s">
        <v>86</v>
      </c>
      <c r="P40" s="3" t="s">
        <v>90</v>
      </c>
    </row>
    <row r="41" spans="1:16" s="5" customFormat="1" x14ac:dyDescent="0.3">
      <c r="A41" s="5">
        <v>7</v>
      </c>
      <c r="B41" s="5">
        <v>1</v>
      </c>
      <c r="C41" s="5" t="s">
        <v>101</v>
      </c>
      <c r="D41" s="5" t="s">
        <v>81</v>
      </c>
      <c r="I41" s="5" t="s">
        <v>83</v>
      </c>
      <c r="J41" s="5" t="s">
        <v>102</v>
      </c>
      <c r="K41" s="5" t="s">
        <v>76</v>
      </c>
      <c r="L41" s="5">
        <v>250</v>
      </c>
      <c r="M41" s="5" t="s">
        <v>103</v>
      </c>
      <c r="N41" s="5">
        <v>24</v>
      </c>
      <c r="O41" s="5" t="s">
        <v>78</v>
      </c>
      <c r="P41" s="5" t="s">
        <v>79</v>
      </c>
    </row>
    <row r="42" spans="1:16" x14ac:dyDescent="0.3">
      <c r="A42" s="3">
        <v>7</v>
      </c>
      <c r="B42" s="3">
        <v>2</v>
      </c>
      <c r="C42" s="3" t="s">
        <v>101</v>
      </c>
      <c r="D42" s="3" t="s">
        <v>81</v>
      </c>
      <c r="I42" s="3" t="s">
        <v>83</v>
      </c>
      <c r="J42" s="3" t="s">
        <v>102</v>
      </c>
      <c r="K42" s="3" t="s">
        <v>76</v>
      </c>
      <c r="L42" s="3">
        <v>250</v>
      </c>
      <c r="M42" s="3" t="s">
        <v>103</v>
      </c>
      <c r="N42" s="3">
        <v>24</v>
      </c>
      <c r="O42" s="3" t="s">
        <v>78</v>
      </c>
      <c r="P42" s="3" t="s">
        <v>79</v>
      </c>
    </row>
    <row r="43" spans="1:16" x14ac:dyDescent="0.3">
      <c r="A43" s="3">
        <v>7</v>
      </c>
      <c r="B43" s="3">
        <v>3</v>
      </c>
      <c r="C43" s="3" t="s">
        <v>101</v>
      </c>
      <c r="D43" s="3" t="s">
        <v>81</v>
      </c>
      <c r="I43" s="3" t="s">
        <v>83</v>
      </c>
      <c r="J43" s="3" t="s">
        <v>102</v>
      </c>
      <c r="K43" s="3" t="s">
        <v>76</v>
      </c>
      <c r="L43" s="3">
        <v>500</v>
      </c>
      <c r="M43" s="3" t="s">
        <v>103</v>
      </c>
      <c r="N43" s="3">
        <v>24</v>
      </c>
      <c r="O43" s="3" t="s">
        <v>78</v>
      </c>
      <c r="P43" s="3" t="s">
        <v>79</v>
      </c>
    </row>
    <row r="44" spans="1:16" x14ac:dyDescent="0.3">
      <c r="A44" s="3">
        <v>7</v>
      </c>
      <c r="B44" s="3">
        <v>4</v>
      </c>
      <c r="C44" s="3" t="s">
        <v>101</v>
      </c>
      <c r="D44" s="3" t="s">
        <v>81</v>
      </c>
      <c r="I44" s="3" t="s">
        <v>83</v>
      </c>
      <c r="J44" s="3" t="s">
        <v>102</v>
      </c>
      <c r="K44" s="3" t="s">
        <v>76</v>
      </c>
      <c r="L44" s="3">
        <v>500</v>
      </c>
      <c r="M44" s="3" t="s">
        <v>103</v>
      </c>
      <c r="N44" s="3">
        <v>24</v>
      </c>
      <c r="O44" s="3" t="s">
        <v>78</v>
      </c>
      <c r="P44" s="3" t="s">
        <v>79</v>
      </c>
    </row>
    <row r="45" spans="1:16" x14ac:dyDescent="0.3">
      <c r="A45" s="3">
        <v>7</v>
      </c>
      <c r="B45" s="3">
        <v>5</v>
      </c>
      <c r="C45" s="3" t="s">
        <v>101</v>
      </c>
      <c r="D45" s="3" t="s">
        <v>81</v>
      </c>
      <c r="I45" s="3" t="s">
        <v>83</v>
      </c>
      <c r="J45" s="3" t="s">
        <v>104</v>
      </c>
      <c r="K45" s="3" t="s">
        <v>76</v>
      </c>
      <c r="L45" s="3">
        <v>250</v>
      </c>
      <c r="M45" s="3" t="s">
        <v>103</v>
      </c>
      <c r="N45" s="3">
        <v>24</v>
      </c>
      <c r="O45" s="3" t="s">
        <v>78</v>
      </c>
      <c r="P45" s="3" t="s">
        <v>79</v>
      </c>
    </row>
    <row r="46" spans="1:16" x14ac:dyDescent="0.3">
      <c r="A46" s="3">
        <v>7</v>
      </c>
      <c r="B46" s="3">
        <v>6</v>
      </c>
      <c r="C46" s="3" t="s">
        <v>101</v>
      </c>
      <c r="D46" s="3" t="s">
        <v>81</v>
      </c>
      <c r="I46" s="3" t="s">
        <v>83</v>
      </c>
      <c r="J46" s="3" t="s">
        <v>104</v>
      </c>
      <c r="K46" s="3" t="s">
        <v>76</v>
      </c>
      <c r="L46" s="3">
        <v>250</v>
      </c>
      <c r="M46" s="3" t="s">
        <v>103</v>
      </c>
      <c r="N46" s="3">
        <v>24</v>
      </c>
      <c r="O46" s="3" t="s">
        <v>78</v>
      </c>
      <c r="P46" s="3" t="s">
        <v>79</v>
      </c>
    </row>
    <row r="47" spans="1:16" x14ac:dyDescent="0.3">
      <c r="A47" s="3">
        <v>7</v>
      </c>
      <c r="B47" s="3">
        <v>7</v>
      </c>
      <c r="C47" s="3" t="s">
        <v>101</v>
      </c>
      <c r="D47" s="3" t="s">
        <v>81</v>
      </c>
      <c r="I47" s="3" t="s">
        <v>83</v>
      </c>
      <c r="J47" s="3" t="s">
        <v>104</v>
      </c>
      <c r="K47" s="3" t="s">
        <v>76</v>
      </c>
      <c r="L47" s="3">
        <v>500</v>
      </c>
      <c r="M47" s="3" t="s">
        <v>103</v>
      </c>
      <c r="N47" s="3">
        <v>24</v>
      </c>
      <c r="O47" s="3" t="s">
        <v>78</v>
      </c>
      <c r="P47" s="3" t="s">
        <v>79</v>
      </c>
    </row>
    <row r="48" spans="1:16" x14ac:dyDescent="0.3">
      <c r="A48" s="3">
        <v>7</v>
      </c>
      <c r="B48" s="3">
        <v>8</v>
      </c>
      <c r="C48" s="3" t="s">
        <v>101</v>
      </c>
      <c r="D48" s="3" t="s">
        <v>81</v>
      </c>
      <c r="I48" s="3" t="s">
        <v>83</v>
      </c>
      <c r="J48" s="3" t="s">
        <v>104</v>
      </c>
      <c r="K48" s="3" t="s">
        <v>76</v>
      </c>
      <c r="L48" s="3">
        <v>500</v>
      </c>
      <c r="M48" s="3" t="s">
        <v>103</v>
      </c>
      <c r="N48" s="3">
        <v>24</v>
      </c>
      <c r="O48" s="3" t="s">
        <v>78</v>
      </c>
      <c r="P48" s="3" t="s">
        <v>79</v>
      </c>
    </row>
    <row r="49" spans="1:16" s="5" customFormat="1" x14ac:dyDescent="0.3">
      <c r="A49" s="5">
        <v>8</v>
      </c>
      <c r="B49" s="5">
        <v>1</v>
      </c>
      <c r="C49" s="5" t="s">
        <v>105</v>
      </c>
      <c r="D49" s="5" t="s">
        <v>92</v>
      </c>
      <c r="I49" s="5" t="s">
        <v>93</v>
      </c>
      <c r="J49" s="5" t="s">
        <v>264</v>
      </c>
      <c r="K49" s="5" t="s">
        <v>76</v>
      </c>
      <c r="L49" s="5">
        <v>0.1</v>
      </c>
      <c r="M49" s="5" t="s">
        <v>89</v>
      </c>
      <c r="N49" s="5">
        <v>8</v>
      </c>
      <c r="O49" s="5" t="s">
        <v>82</v>
      </c>
      <c r="P49" s="5" t="s">
        <v>90</v>
      </c>
    </row>
    <row r="50" spans="1:16" x14ac:dyDescent="0.3">
      <c r="A50" s="3">
        <v>8</v>
      </c>
      <c r="B50" s="3">
        <v>2</v>
      </c>
      <c r="C50" s="3" t="s">
        <v>105</v>
      </c>
      <c r="D50" s="3" t="s">
        <v>92</v>
      </c>
      <c r="I50" s="3" t="s">
        <v>93</v>
      </c>
      <c r="J50" s="3" t="s">
        <v>264</v>
      </c>
      <c r="K50" s="3" t="s">
        <v>76</v>
      </c>
      <c r="L50" s="3">
        <v>1</v>
      </c>
      <c r="M50" s="3" t="s">
        <v>89</v>
      </c>
      <c r="N50" s="3">
        <v>8</v>
      </c>
      <c r="O50" s="3" t="s">
        <v>82</v>
      </c>
      <c r="P50" s="3" t="s">
        <v>90</v>
      </c>
    </row>
    <row r="51" spans="1:16" x14ac:dyDescent="0.3">
      <c r="A51" s="3">
        <v>8</v>
      </c>
      <c r="B51" s="3">
        <v>3</v>
      </c>
      <c r="C51" s="3" t="s">
        <v>105</v>
      </c>
      <c r="D51" s="3" t="s">
        <v>92</v>
      </c>
      <c r="I51" s="3" t="s">
        <v>93</v>
      </c>
      <c r="J51" s="3" t="s">
        <v>264</v>
      </c>
      <c r="K51" s="3" t="s">
        <v>76</v>
      </c>
      <c r="L51" s="3">
        <v>10</v>
      </c>
      <c r="M51" s="3" t="s">
        <v>89</v>
      </c>
      <c r="N51" s="3">
        <v>8</v>
      </c>
      <c r="O51" s="3" t="s">
        <v>82</v>
      </c>
      <c r="P51" s="3" t="s">
        <v>90</v>
      </c>
    </row>
    <row r="52" spans="1:16" x14ac:dyDescent="0.3">
      <c r="A52" s="3">
        <v>8</v>
      </c>
      <c r="B52" s="3">
        <v>4</v>
      </c>
      <c r="C52" s="3" t="s">
        <v>105</v>
      </c>
      <c r="D52" s="3" t="s">
        <v>92</v>
      </c>
      <c r="I52" s="3" t="s">
        <v>93</v>
      </c>
      <c r="J52" s="3" t="s">
        <v>264</v>
      </c>
      <c r="K52" s="3" t="s">
        <v>76</v>
      </c>
      <c r="L52" s="3">
        <v>100</v>
      </c>
      <c r="M52" s="3" t="s">
        <v>89</v>
      </c>
      <c r="N52" s="3">
        <v>8</v>
      </c>
      <c r="O52" s="3" t="s">
        <v>82</v>
      </c>
      <c r="P52" s="3" t="s">
        <v>90</v>
      </c>
    </row>
    <row r="53" spans="1:16" s="5" customFormat="1" x14ac:dyDescent="0.3">
      <c r="A53" s="5">
        <v>9</v>
      </c>
      <c r="B53" s="5">
        <v>1</v>
      </c>
      <c r="C53" s="5" t="s">
        <v>106</v>
      </c>
      <c r="D53" s="5" t="s">
        <v>81</v>
      </c>
      <c r="I53" s="5" t="s">
        <v>83</v>
      </c>
      <c r="J53" s="5" t="s">
        <v>107</v>
      </c>
      <c r="K53" s="5" t="s">
        <v>76</v>
      </c>
      <c r="L53" s="5">
        <v>6.25</v>
      </c>
      <c r="M53" s="5" t="s">
        <v>108</v>
      </c>
      <c r="N53" s="5">
        <v>4</v>
      </c>
      <c r="O53" s="5" t="s">
        <v>86</v>
      </c>
      <c r="P53" s="5" t="s">
        <v>79</v>
      </c>
    </row>
    <row r="54" spans="1:16" x14ac:dyDescent="0.3">
      <c r="A54" s="3">
        <v>9</v>
      </c>
      <c r="B54" s="3">
        <v>2</v>
      </c>
      <c r="C54" s="3" t="s">
        <v>106</v>
      </c>
      <c r="D54" s="3" t="s">
        <v>81</v>
      </c>
      <c r="I54" s="3" t="s">
        <v>83</v>
      </c>
      <c r="J54" s="3" t="s">
        <v>107</v>
      </c>
      <c r="K54" s="3" t="s">
        <v>76</v>
      </c>
      <c r="L54" s="3">
        <v>12.5</v>
      </c>
      <c r="M54" s="3" t="s">
        <v>108</v>
      </c>
      <c r="N54" s="3">
        <v>4</v>
      </c>
      <c r="O54" s="3" t="s">
        <v>86</v>
      </c>
      <c r="P54" s="3" t="s">
        <v>79</v>
      </c>
    </row>
    <row r="55" spans="1:16" x14ac:dyDescent="0.3">
      <c r="A55" s="3">
        <v>9</v>
      </c>
      <c r="B55" s="3">
        <v>3</v>
      </c>
      <c r="C55" s="3" t="s">
        <v>106</v>
      </c>
      <c r="D55" s="3" t="s">
        <v>81</v>
      </c>
      <c r="I55" s="3" t="s">
        <v>83</v>
      </c>
      <c r="J55" s="3" t="s">
        <v>107</v>
      </c>
      <c r="K55" s="3" t="s">
        <v>76</v>
      </c>
      <c r="L55" s="3">
        <v>25</v>
      </c>
      <c r="M55" s="3" t="s">
        <v>108</v>
      </c>
      <c r="N55" s="3">
        <v>4</v>
      </c>
      <c r="O55" s="3" t="s">
        <v>86</v>
      </c>
      <c r="P55" s="3" t="s">
        <v>79</v>
      </c>
    </row>
    <row r="56" spans="1:16" x14ac:dyDescent="0.3">
      <c r="A56" s="3">
        <v>9</v>
      </c>
      <c r="B56" s="3">
        <v>4</v>
      </c>
      <c r="C56" s="3" t="s">
        <v>106</v>
      </c>
      <c r="D56" s="3" t="s">
        <v>81</v>
      </c>
      <c r="I56" s="3" t="s">
        <v>83</v>
      </c>
      <c r="J56" s="3" t="s">
        <v>107</v>
      </c>
      <c r="K56" s="3" t="s">
        <v>76</v>
      </c>
      <c r="L56" s="3">
        <v>50</v>
      </c>
      <c r="M56" s="3" t="s">
        <v>108</v>
      </c>
      <c r="N56" s="3">
        <v>4</v>
      </c>
      <c r="O56" s="3" t="s">
        <v>86</v>
      </c>
      <c r="P56" s="3" t="s">
        <v>79</v>
      </c>
    </row>
    <row r="57" spans="1:16" x14ac:dyDescent="0.3">
      <c r="A57" s="3">
        <v>9</v>
      </c>
      <c r="B57" s="3">
        <v>5</v>
      </c>
      <c r="C57" s="3" t="s">
        <v>106</v>
      </c>
      <c r="D57" s="3" t="s">
        <v>81</v>
      </c>
      <c r="I57" s="3" t="s">
        <v>83</v>
      </c>
      <c r="J57" s="3" t="s">
        <v>107</v>
      </c>
      <c r="K57" s="3" t="s">
        <v>76</v>
      </c>
      <c r="L57" s="3">
        <v>100</v>
      </c>
      <c r="M57" s="3" t="s">
        <v>108</v>
      </c>
      <c r="N57" s="3">
        <v>4</v>
      </c>
      <c r="O57" s="3" t="s">
        <v>86</v>
      </c>
      <c r="P57" s="3" t="s">
        <v>79</v>
      </c>
    </row>
    <row r="58" spans="1:16" s="5" customFormat="1" x14ac:dyDescent="0.3">
      <c r="A58" s="5">
        <v>10</v>
      </c>
      <c r="B58" s="5">
        <v>1</v>
      </c>
      <c r="C58" s="5" t="s">
        <v>109</v>
      </c>
      <c r="D58" s="5" t="s">
        <v>92</v>
      </c>
      <c r="I58" s="5" t="s">
        <v>266</v>
      </c>
      <c r="J58" s="5" t="s">
        <v>267</v>
      </c>
      <c r="K58" s="5" t="s">
        <v>76</v>
      </c>
      <c r="N58" s="5">
        <v>4</v>
      </c>
      <c r="O58" s="5" t="s">
        <v>82</v>
      </c>
      <c r="P58" s="5" t="s">
        <v>90</v>
      </c>
    </row>
    <row r="59" spans="1:16" x14ac:dyDescent="0.3">
      <c r="A59" s="3">
        <v>10</v>
      </c>
      <c r="B59" s="3">
        <v>2</v>
      </c>
      <c r="C59" s="3" t="s">
        <v>110</v>
      </c>
      <c r="D59" s="3" t="s">
        <v>92</v>
      </c>
      <c r="I59" s="3" t="s">
        <v>266</v>
      </c>
      <c r="J59" s="3" t="s">
        <v>267</v>
      </c>
      <c r="K59" s="3" t="s">
        <v>76</v>
      </c>
      <c r="N59" s="3">
        <v>3</v>
      </c>
      <c r="O59" s="3" t="s">
        <v>82</v>
      </c>
      <c r="P59" s="3" t="s">
        <v>90</v>
      </c>
    </row>
    <row r="60" spans="1:16" s="5" customFormat="1" x14ac:dyDescent="0.3">
      <c r="A60" s="5">
        <v>11</v>
      </c>
      <c r="B60" s="5">
        <v>1</v>
      </c>
      <c r="C60" s="5" t="s">
        <v>111</v>
      </c>
      <c r="D60" s="5" t="s">
        <v>92</v>
      </c>
      <c r="I60" s="5" t="s">
        <v>93</v>
      </c>
      <c r="J60" s="5" t="s">
        <v>112</v>
      </c>
      <c r="K60" s="5" t="s">
        <v>76</v>
      </c>
      <c r="N60" s="5">
        <v>28</v>
      </c>
      <c r="O60" s="5" t="s">
        <v>86</v>
      </c>
      <c r="P60" s="5" t="s">
        <v>90</v>
      </c>
    </row>
    <row r="61" spans="1:16" x14ac:dyDescent="0.3">
      <c r="A61" s="3">
        <v>11</v>
      </c>
      <c r="B61" s="3">
        <v>2</v>
      </c>
      <c r="C61" s="3" t="s">
        <v>111</v>
      </c>
      <c r="D61" s="3" t="s">
        <v>92</v>
      </c>
      <c r="I61" s="3" t="s">
        <v>93</v>
      </c>
      <c r="J61" s="3" t="s">
        <v>112</v>
      </c>
      <c r="K61" s="3" t="s">
        <v>76</v>
      </c>
      <c r="N61" s="3">
        <v>28</v>
      </c>
      <c r="O61" s="3" t="s">
        <v>86</v>
      </c>
      <c r="P61" s="3" t="s">
        <v>90</v>
      </c>
    </row>
    <row r="62" spans="1:16" x14ac:dyDescent="0.3">
      <c r="A62" s="3">
        <v>11</v>
      </c>
      <c r="B62" s="3">
        <v>3</v>
      </c>
      <c r="C62" s="3" t="s">
        <v>111</v>
      </c>
      <c r="D62" s="3" t="s">
        <v>92</v>
      </c>
      <c r="I62" s="3" t="s">
        <v>93</v>
      </c>
      <c r="J62" s="3" t="s">
        <v>112</v>
      </c>
      <c r="K62" s="3" t="s">
        <v>76</v>
      </c>
      <c r="N62" s="3">
        <v>28</v>
      </c>
      <c r="O62" s="3" t="s">
        <v>86</v>
      </c>
      <c r="P62" s="3" t="s">
        <v>90</v>
      </c>
    </row>
    <row r="63" spans="1:16" x14ac:dyDescent="0.3">
      <c r="A63" s="3">
        <v>11</v>
      </c>
      <c r="B63" s="3">
        <v>4</v>
      </c>
      <c r="C63" s="3" t="s">
        <v>111</v>
      </c>
      <c r="D63" s="3" t="s">
        <v>92</v>
      </c>
      <c r="I63" s="3" t="s">
        <v>93</v>
      </c>
      <c r="J63" s="3" t="s">
        <v>112</v>
      </c>
      <c r="K63" s="3" t="s">
        <v>76</v>
      </c>
      <c r="N63" s="3">
        <v>183</v>
      </c>
      <c r="O63" s="3" t="s">
        <v>86</v>
      </c>
      <c r="P63" s="3" t="s">
        <v>90</v>
      </c>
    </row>
    <row r="64" spans="1:16" x14ac:dyDescent="0.3">
      <c r="A64" s="3">
        <v>11</v>
      </c>
      <c r="B64" s="3">
        <v>5</v>
      </c>
      <c r="C64" s="3" t="s">
        <v>111</v>
      </c>
      <c r="D64" s="3" t="s">
        <v>92</v>
      </c>
      <c r="I64" s="3" t="s">
        <v>93</v>
      </c>
      <c r="J64" s="3" t="s">
        <v>112</v>
      </c>
      <c r="K64" s="3" t="s">
        <v>76</v>
      </c>
      <c r="N64" s="3">
        <v>183</v>
      </c>
      <c r="O64" s="3" t="s">
        <v>86</v>
      </c>
      <c r="P64" s="3" t="s">
        <v>90</v>
      </c>
    </row>
    <row r="65" spans="1:16" x14ac:dyDescent="0.3">
      <c r="A65" s="3">
        <v>11</v>
      </c>
      <c r="B65" s="3">
        <v>6</v>
      </c>
      <c r="C65" s="3" t="s">
        <v>111</v>
      </c>
      <c r="D65" s="3" t="s">
        <v>92</v>
      </c>
      <c r="I65" s="3" t="s">
        <v>93</v>
      </c>
      <c r="J65" s="3" t="s">
        <v>112</v>
      </c>
      <c r="K65" s="3" t="s">
        <v>76</v>
      </c>
      <c r="N65" s="3">
        <v>183</v>
      </c>
      <c r="O65" s="3" t="s">
        <v>86</v>
      </c>
      <c r="P65" s="3" t="s">
        <v>90</v>
      </c>
    </row>
    <row r="66" spans="1:16" x14ac:dyDescent="0.3">
      <c r="A66" s="3">
        <v>11</v>
      </c>
      <c r="B66" s="3">
        <v>7</v>
      </c>
      <c r="C66" s="10" t="s">
        <v>113</v>
      </c>
      <c r="D66" s="3" t="s">
        <v>92</v>
      </c>
      <c r="I66" s="3" t="s">
        <v>93</v>
      </c>
      <c r="J66" s="3" t="s">
        <v>112</v>
      </c>
      <c r="K66" s="3" t="s">
        <v>76</v>
      </c>
      <c r="N66" s="3">
        <v>28</v>
      </c>
      <c r="O66" s="3" t="s">
        <v>86</v>
      </c>
      <c r="P66" s="3" t="s">
        <v>90</v>
      </c>
    </row>
    <row r="67" spans="1:16" x14ac:dyDescent="0.3">
      <c r="A67" s="3">
        <v>11</v>
      </c>
      <c r="B67" s="3">
        <v>8</v>
      </c>
      <c r="C67" s="10" t="s">
        <v>113</v>
      </c>
      <c r="D67" s="3" t="s">
        <v>92</v>
      </c>
      <c r="I67" s="3" t="s">
        <v>93</v>
      </c>
      <c r="J67" s="3" t="s">
        <v>112</v>
      </c>
      <c r="K67" s="3" t="s">
        <v>76</v>
      </c>
      <c r="N67" s="3">
        <v>28</v>
      </c>
      <c r="O67" s="3" t="s">
        <v>86</v>
      </c>
      <c r="P67" s="3" t="s">
        <v>90</v>
      </c>
    </row>
    <row r="68" spans="1:16" x14ac:dyDescent="0.3">
      <c r="A68" s="3">
        <v>11</v>
      </c>
      <c r="B68" s="3">
        <v>9</v>
      </c>
      <c r="C68" s="10" t="s">
        <v>113</v>
      </c>
      <c r="D68" s="3" t="s">
        <v>92</v>
      </c>
      <c r="I68" s="3" t="s">
        <v>93</v>
      </c>
      <c r="J68" s="3" t="s">
        <v>112</v>
      </c>
      <c r="K68" s="3" t="s">
        <v>76</v>
      </c>
      <c r="N68" s="3">
        <v>28</v>
      </c>
      <c r="O68" s="3" t="s">
        <v>86</v>
      </c>
      <c r="P68" s="3" t="s">
        <v>90</v>
      </c>
    </row>
    <row r="69" spans="1:16" x14ac:dyDescent="0.3">
      <c r="A69" s="3">
        <v>11</v>
      </c>
      <c r="B69" s="3">
        <v>10</v>
      </c>
      <c r="C69" s="10" t="s">
        <v>113</v>
      </c>
      <c r="D69" s="3" t="s">
        <v>92</v>
      </c>
      <c r="I69" s="3" t="s">
        <v>93</v>
      </c>
      <c r="J69" s="3" t="s">
        <v>112</v>
      </c>
      <c r="K69" s="3" t="s">
        <v>76</v>
      </c>
      <c r="N69" s="3">
        <v>183</v>
      </c>
      <c r="O69" s="3" t="s">
        <v>86</v>
      </c>
      <c r="P69" s="3" t="s">
        <v>90</v>
      </c>
    </row>
    <row r="70" spans="1:16" x14ac:dyDescent="0.3">
      <c r="A70" s="3">
        <v>11</v>
      </c>
      <c r="B70" s="3">
        <v>11</v>
      </c>
      <c r="C70" s="10" t="s">
        <v>113</v>
      </c>
      <c r="D70" s="3" t="s">
        <v>92</v>
      </c>
      <c r="I70" s="3" t="s">
        <v>93</v>
      </c>
      <c r="J70" s="3" t="s">
        <v>112</v>
      </c>
      <c r="K70" s="3" t="s">
        <v>76</v>
      </c>
      <c r="N70" s="3">
        <v>183</v>
      </c>
      <c r="O70" s="3" t="s">
        <v>86</v>
      </c>
      <c r="P70" s="3" t="s">
        <v>90</v>
      </c>
    </row>
    <row r="71" spans="1:16" x14ac:dyDescent="0.3">
      <c r="A71" s="3">
        <v>11</v>
      </c>
      <c r="B71" s="3">
        <v>12</v>
      </c>
      <c r="C71" s="10" t="s">
        <v>113</v>
      </c>
      <c r="D71" s="3" t="s">
        <v>92</v>
      </c>
      <c r="I71" s="3" t="s">
        <v>93</v>
      </c>
      <c r="J71" s="3" t="s">
        <v>112</v>
      </c>
      <c r="K71" s="3" t="s">
        <v>76</v>
      </c>
      <c r="N71" s="3">
        <v>183</v>
      </c>
      <c r="O71" s="3" t="s">
        <v>86</v>
      </c>
      <c r="P71" s="3" t="s">
        <v>90</v>
      </c>
    </row>
    <row r="72" spans="1:16" s="5" customFormat="1" x14ac:dyDescent="0.3">
      <c r="A72" s="5">
        <v>12</v>
      </c>
      <c r="B72" s="5">
        <v>1</v>
      </c>
      <c r="C72" s="5" t="s">
        <v>114</v>
      </c>
      <c r="D72" s="5" t="s">
        <v>81</v>
      </c>
      <c r="I72" s="5" t="s">
        <v>83</v>
      </c>
      <c r="J72" s="5" t="s">
        <v>115</v>
      </c>
      <c r="K72" s="5" t="s">
        <v>76</v>
      </c>
      <c r="L72" s="5">
        <v>10</v>
      </c>
      <c r="M72" s="5" t="s">
        <v>98</v>
      </c>
      <c r="N72" s="5">
        <v>30</v>
      </c>
      <c r="O72" s="5" t="s">
        <v>116</v>
      </c>
      <c r="P72" s="5" t="s">
        <v>79</v>
      </c>
    </row>
    <row r="73" spans="1:16" x14ac:dyDescent="0.3">
      <c r="A73" s="3">
        <v>12</v>
      </c>
      <c r="B73" s="3">
        <v>2</v>
      </c>
      <c r="C73" s="3" t="s">
        <v>117</v>
      </c>
      <c r="D73" s="3" t="s">
        <v>81</v>
      </c>
      <c r="I73" s="3" t="s">
        <v>83</v>
      </c>
      <c r="J73" s="3" t="s">
        <v>118</v>
      </c>
      <c r="K73" s="3" t="s">
        <v>76</v>
      </c>
      <c r="L73" s="3">
        <v>1</v>
      </c>
      <c r="M73" s="3" t="s">
        <v>98</v>
      </c>
      <c r="N73" s="3">
        <v>3</v>
      </c>
      <c r="O73" s="3" t="s">
        <v>86</v>
      </c>
      <c r="P73" s="3" t="s">
        <v>79</v>
      </c>
    </row>
    <row r="74" spans="1:16" x14ac:dyDescent="0.3">
      <c r="A74" s="3">
        <v>12</v>
      </c>
      <c r="B74" s="3">
        <v>3</v>
      </c>
      <c r="C74" s="3" t="s">
        <v>119</v>
      </c>
      <c r="D74" s="3" t="s">
        <v>81</v>
      </c>
      <c r="I74" s="3" t="s">
        <v>83</v>
      </c>
      <c r="J74" s="3" t="s">
        <v>115</v>
      </c>
      <c r="K74" s="3" t="s">
        <v>76</v>
      </c>
      <c r="L74" s="3">
        <v>1</v>
      </c>
      <c r="M74" s="3" t="s">
        <v>98</v>
      </c>
      <c r="N74" s="3">
        <v>2</v>
      </c>
      <c r="O74" s="3" t="s">
        <v>86</v>
      </c>
      <c r="P74" s="3" t="s">
        <v>79</v>
      </c>
    </row>
    <row r="75" spans="1:16" x14ac:dyDescent="0.3">
      <c r="A75" s="3">
        <v>12</v>
      </c>
      <c r="B75" s="3">
        <v>4</v>
      </c>
      <c r="C75" s="3" t="s">
        <v>120</v>
      </c>
      <c r="D75" s="3" t="s">
        <v>81</v>
      </c>
      <c r="I75" s="3" t="s">
        <v>83</v>
      </c>
      <c r="J75" s="3" t="s">
        <v>121</v>
      </c>
      <c r="K75" s="3" t="s">
        <v>76</v>
      </c>
      <c r="L75" s="3">
        <v>10</v>
      </c>
      <c r="M75" s="3" t="s">
        <v>98</v>
      </c>
      <c r="N75" s="3">
        <v>2</v>
      </c>
      <c r="O75" s="3" t="s">
        <v>86</v>
      </c>
      <c r="P75" s="3" t="s">
        <v>79</v>
      </c>
    </row>
    <row r="76" spans="1:16" x14ac:dyDescent="0.3">
      <c r="A76" s="3">
        <v>12</v>
      </c>
      <c r="B76" s="3">
        <v>5</v>
      </c>
      <c r="C76" s="3" t="s">
        <v>122</v>
      </c>
      <c r="D76" s="3" t="s">
        <v>81</v>
      </c>
      <c r="I76" s="3" t="s">
        <v>83</v>
      </c>
      <c r="J76" s="3" t="s">
        <v>115</v>
      </c>
      <c r="K76" s="3" t="s">
        <v>76</v>
      </c>
      <c r="L76" s="3">
        <v>1</v>
      </c>
      <c r="M76" s="3" t="s">
        <v>98</v>
      </c>
      <c r="N76" s="3">
        <v>2</v>
      </c>
      <c r="O76" s="3" t="s">
        <v>86</v>
      </c>
      <c r="P76" s="3" t="s">
        <v>79</v>
      </c>
    </row>
    <row r="77" spans="1:16" s="5" customFormat="1" x14ac:dyDescent="0.3">
      <c r="A77" s="5">
        <v>13</v>
      </c>
      <c r="B77" s="5">
        <v>1</v>
      </c>
      <c r="C77" s="5" t="s">
        <v>123</v>
      </c>
      <c r="D77" s="5" t="s">
        <v>81</v>
      </c>
      <c r="I77" s="5" t="s">
        <v>75</v>
      </c>
      <c r="J77" s="5" t="s">
        <v>121</v>
      </c>
      <c r="K77" s="5" t="s">
        <v>124</v>
      </c>
      <c r="L77" s="5">
        <v>0.84</v>
      </c>
      <c r="M77" s="5" t="s">
        <v>89</v>
      </c>
      <c r="N77" s="5">
        <v>6</v>
      </c>
      <c r="O77" s="5" t="s">
        <v>82</v>
      </c>
      <c r="P77" s="5" t="s">
        <v>90</v>
      </c>
    </row>
    <row r="78" spans="1:16" x14ac:dyDescent="0.3">
      <c r="A78" s="3">
        <v>13</v>
      </c>
      <c r="B78" s="3">
        <v>2</v>
      </c>
      <c r="C78" s="3" t="s">
        <v>123</v>
      </c>
      <c r="D78" s="3" t="s">
        <v>81</v>
      </c>
      <c r="I78" s="3" t="s">
        <v>75</v>
      </c>
      <c r="J78" s="3" t="s">
        <v>121</v>
      </c>
      <c r="K78" s="3" t="s">
        <v>124</v>
      </c>
      <c r="L78" s="3">
        <v>8.4</v>
      </c>
      <c r="M78" s="3" t="s">
        <v>89</v>
      </c>
      <c r="N78" s="3">
        <v>6</v>
      </c>
      <c r="O78" s="3" t="s">
        <v>82</v>
      </c>
      <c r="P78" s="3" t="s">
        <v>90</v>
      </c>
    </row>
    <row r="79" spans="1:16" s="5" customFormat="1" x14ac:dyDescent="0.3">
      <c r="A79" s="5">
        <v>14</v>
      </c>
      <c r="B79" s="5">
        <v>1</v>
      </c>
      <c r="C79" s="5" t="s">
        <v>125</v>
      </c>
      <c r="D79" s="5" t="s">
        <v>81</v>
      </c>
      <c r="E79" s="5">
        <v>5</v>
      </c>
      <c r="F79" s="5" t="s">
        <v>126</v>
      </c>
      <c r="I79" s="5" t="s">
        <v>75</v>
      </c>
      <c r="J79" s="5" t="s">
        <v>121</v>
      </c>
      <c r="K79" s="5" t="s">
        <v>76</v>
      </c>
      <c r="L79" s="5">
        <v>0.84</v>
      </c>
      <c r="M79" s="5" t="s">
        <v>89</v>
      </c>
      <c r="N79" s="5">
        <v>27</v>
      </c>
      <c r="O79" s="5" t="s">
        <v>86</v>
      </c>
      <c r="P79" s="5" t="s">
        <v>90</v>
      </c>
    </row>
    <row r="80" spans="1:16" x14ac:dyDescent="0.3">
      <c r="A80" s="3">
        <v>14</v>
      </c>
      <c r="B80" s="3">
        <v>2</v>
      </c>
      <c r="C80" s="3" t="s">
        <v>125</v>
      </c>
      <c r="D80" s="3" t="s">
        <v>81</v>
      </c>
      <c r="E80" s="3">
        <v>5</v>
      </c>
      <c r="F80" s="3" t="s">
        <v>126</v>
      </c>
      <c r="I80" s="3" t="s">
        <v>75</v>
      </c>
      <c r="J80" s="11" t="s">
        <v>121</v>
      </c>
      <c r="K80" s="3" t="s">
        <v>76</v>
      </c>
      <c r="L80" s="3">
        <v>8.4</v>
      </c>
      <c r="M80" s="3" t="s">
        <v>89</v>
      </c>
      <c r="N80" s="3">
        <v>27</v>
      </c>
      <c r="O80" s="3" t="s">
        <v>86</v>
      </c>
      <c r="P80" s="3" t="s">
        <v>90</v>
      </c>
    </row>
    <row r="81" spans="1:16" s="5" customFormat="1" x14ac:dyDescent="0.3">
      <c r="A81" s="5">
        <v>15</v>
      </c>
      <c r="B81" s="5">
        <v>1</v>
      </c>
      <c r="C81" s="5" t="s">
        <v>127</v>
      </c>
      <c r="D81" s="5" t="s">
        <v>81</v>
      </c>
      <c r="I81" s="5" t="s">
        <v>83</v>
      </c>
      <c r="J81" s="3" t="s">
        <v>128</v>
      </c>
      <c r="K81" s="5" t="s">
        <v>76</v>
      </c>
      <c r="L81" s="5">
        <v>10</v>
      </c>
      <c r="M81" s="5" t="s">
        <v>85</v>
      </c>
      <c r="N81" s="5">
        <v>7</v>
      </c>
      <c r="O81" s="5" t="s">
        <v>86</v>
      </c>
      <c r="P81" s="5" t="s">
        <v>90</v>
      </c>
    </row>
    <row r="82" spans="1:16" x14ac:dyDescent="0.3">
      <c r="A82" s="3">
        <v>15</v>
      </c>
      <c r="B82" s="3">
        <v>2</v>
      </c>
      <c r="C82" s="3" t="s">
        <v>127</v>
      </c>
      <c r="D82" s="3" t="s">
        <v>81</v>
      </c>
      <c r="I82" s="3" t="s">
        <v>83</v>
      </c>
      <c r="J82" s="3" t="s">
        <v>128</v>
      </c>
      <c r="K82" s="3" t="s">
        <v>76</v>
      </c>
      <c r="L82" s="3">
        <v>50</v>
      </c>
      <c r="M82" s="3" t="s">
        <v>85</v>
      </c>
      <c r="N82" s="3">
        <v>7</v>
      </c>
      <c r="O82" s="3" t="s">
        <v>86</v>
      </c>
      <c r="P82" s="3" t="s">
        <v>90</v>
      </c>
    </row>
    <row r="83" spans="1:16" x14ac:dyDescent="0.3">
      <c r="A83" s="3">
        <v>15</v>
      </c>
      <c r="B83" s="3">
        <v>3</v>
      </c>
      <c r="C83" s="3" t="s">
        <v>127</v>
      </c>
      <c r="D83" s="3" t="s">
        <v>81</v>
      </c>
      <c r="I83" s="3" t="s">
        <v>83</v>
      </c>
      <c r="J83" s="3" t="s">
        <v>128</v>
      </c>
      <c r="K83" s="3" t="s">
        <v>76</v>
      </c>
      <c r="L83" s="3">
        <v>100</v>
      </c>
      <c r="M83" s="3" t="s">
        <v>85</v>
      </c>
      <c r="N83" s="3">
        <v>7</v>
      </c>
      <c r="O83" s="3" t="s">
        <v>86</v>
      </c>
      <c r="P83" s="3" t="s">
        <v>90</v>
      </c>
    </row>
    <row r="84" spans="1:16" s="5" customFormat="1" x14ac:dyDescent="0.3">
      <c r="A84" s="5">
        <v>16</v>
      </c>
      <c r="B84" s="5">
        <v>1</v>
      </c>
      <c r="C84" s="5" t="s">
        <v>123</v>
      </c>
      <c r="D84" s="5" t="s">
        <v>81</v>
      </c>
      <c r="I84" s="5" t="s">
        <v>83</v>
      </c>
      <c r="J84" s="5" t="s">
        <v>129</v>
      </c>
      <c r="K84" s="5" t="s">
        <v>76</v>
      </c>
      <c r="L84" s="5">
        <v>1</v>
      </c>
      <c r="M84" s="5" t="s">
        <v>85</v>
      </c>
      <c r="N84" s="5">
        <v>2</v>
      </c>
      <c r="O84" s="5" t="s">
        <v>86</v>
      </c>
      <c r="P84" s="5" t="s">
        <v>79</v>
      </c>
    </row>
    <row r="85" spans="1:16" x14ac:dyDescent="0.3">
      <c r="A85" s="3">
        <v>16</v>
      </c>
      <c r="B85" s="3">
        <v>2</v>
      </c>
      <c r="C85" s="3" t="s">
        <v>123</v>
      </c>
      <c r="D85" s="3" t="s">
        <v>81</v>
      </c>
      <c r="I85" s="3" t="s">
        <v>83</v>
      </c>
      <c r="J85" s="3" t="s">
        <v>129</v>
      </c>
      <c r="K85" s="3" t="s">
        <v>76</v>
      </c>
      <c r="L85" s="3">
        <v>5</v>
      </c>
      <c r="M85" s="3" t="s">
        <v>85</v>
      </c>
      <c r="N85" s="3">
        <v>2</v>
      </c>
      <c r="O85" s="3" t="s">
        <v>86</v>
      </c>
      <c r="P85" s="3" t="s">
        <v>79</v>
      </c>
    </row>
    <row r="86" spans="1:16" x14ac:dyDescent="0.3">
      <c r="A86" s="3">
        <v>16</v>
      </c>
      <c r="B86" s="3">
        <v>3</v>
      </c>
      <c r="C86" s="3" t="s">
        <v>123</v>
      </c>
      <c r="D86" s="3" t="s">
        <v>81</v>
      </c>
      <c r="I86" s="3" t="s">
        <v>83</v>
      </c>
      <c r="J86" s="3" t="s">
        <v>129</v>
      </c>
      <c r="K86" s="3" t="s">
        <v>76</v>
      </c>
      <c r="L86" s="3">
        <v>10</v>
      </c>
      <c r="M86" s="3" t="s">
        <v>85</v>
      </c>
      <c r="N86" s="3">
        <v>2</v>
      </c>
      <c r="O86" s="3" t="s">
        <v>86</v>
      </c>
      <c r="P86" s="3" t="s">
        <v>79</v>
      </c>
    </row>
    <row r="87" spans="1:16" s="5" customFormat="1" x14ac:dyDescent="0.3">
      <c r="A87" s="5">
        <v>17</v>
      </c>
      <c r="B87" s="5">
        <v>1</v>
      </c>
      <c r="C87" s="5" t="s">
        <v>109</v>
      </c>
      <c r="D87" s="5" t="s">
        <v>92</v>
      </c>
      <c r="E87" s="5">
        <v>0</v>
      </c>
      <c r="F87" s="5" t="s">
        <v>126</v>
      </c>
      <c r="I87" s="5" t="s">
        <v>93</v>
      </c>
      <c r="J87" s="5" t="s">
        <v>130</v>
      </c>
      <c r="K87" s="5" t="s">
        <v>76</v>
      </c>
      <c r="L87" s="5">
        <v>4.5</v>
      </c>
      <c r="M87" s="5" t="s">
        <v>131</v>
      </c>
      <c r="N87" s="5">
        <v>5</v>
      </c>
      <c r="O87" s="5" t="s">
        <v>82</v>
      </c>
      <c r="P87" s="5" t="s">
        <v>90</v>
      </c>
    </row>
    <row r="88" spans="1:16" x14ac:dyDescent="0.3">
      <c r="A88" s="3">
        <v>17</v>
      </c>
      <c r="B88" s="3">
        <v>2</v>
      </c>
      <c r="C88" s="10" t="s">
        <v>132</v>
      </c>
      <c r="D88" s="3" t="s">
        <v>92</v>
      </c>
      <c r="E88" s="3">
        <v>0</v>
      </c>
      <c r="F88" s="3" t="s">
        <v>126</v>
      </c>
      <c r="I88" s="3" t="s">
        <v>93</v>
      </c>
      <c r="J88" s="3" t="s">
        <v>130</v>
      </c>
      <c r="K88" s="3" t="s">
        <v>76</v>
      </c>
      <c r="L88" s="3">
        <v>4.5</v>
      </c>
      <c r="M88" s="3" t="s">
        <v>131</v>
      </c>
      <c r="N88" s="3">
        <v>7</v>
      </c>
      <c r="O88" s="3" t="s">
        <v>82</v>
      </c>
      <c r="P88" s="3" t="s">
        <v>90</v>
      </c>
    </row>
    <row r="89" spans="1:16" s="5" customFormat="1" x14ac:dyDescent="0.3">
      <c r="A89" s="5">
        <v>18</v>
      </c>
      <c r="B89" s="5">
        <v>1</v>
      </c>
      <c r="C89" s="5" t="s">
        <v>133</v>
      </c>
      <c r="D89" s="5" t="s">
        <v>81</v>
      </c>
      <c r="I89" s="5" t="s">
        <v>83</v>
      </c>
      <c r="J89" s="5" t="s">
        <v>134</v>
      </c>
      <c r="K89" s="5" t="s">
        <v>76</v>
      </c>
      <c r="L89" s="5">
        <v>50</v>
      </c>
      <c r="M89" s="5" t="s">
        <v>85</v>
      </c>
      <c r="N89" s="5">
        <v>3</v>
      </c>
      <c r="O89" s="5" t="s">
        <v>86</v>
      </c>
      <c r="P89" s="5" t="s">
        <v>79</v>
      </c>
    </row>
    <row r="90" spans="1:16" x14ac:dyDescent="0.3">
      <c r="A90" s="3">
        <v>18</v>
      </c>
      <c r="B90" s="3">
        <v>2</v>
      </c>
      <c r="C90" s="10" t="s">
        <v>135</v>
      </c>
      <c r="D90" s="3" t="s">
        <v>81</v>
      </c>
      <c r="I90" s="3" t="s">
        <v>83</v>
      </c>
      <c r="J90" s="3" t="s">
        <v>134</v>
      </c>
      <c r="K90" s="3" t="s">
        <v>76</v>
      </c>
      <c r="L90" s="3">
        <v>50</v>
      </c>
      <c r="M90" s="3" t="s">
        <v>85</v>
      </c>
      <c r="N90" s="3">
        <v>3</v>
      </c>
      <c r="O90" s="3" t="s">
        <v>86</v>
      </c>
      <c r="P90" s="3" t="s">
        <v>79</v>
      </c>
    </row>
    <row r="91" spans="1:16" x14ac:dyDescent="0.3">
      <c r="A91" s="3">
        <v>18</v>
      </c>
      <c r="B91" s="3">
        <v>3</v>
      </c>
      <c r="C91" s="3" t="s">
        <v>136</v>
      </c>
      <c r="D91" s="3" t="s">
        <v>81</v>
      </c>
      <c r="I91" s="3" t="s">
        <v>83</v>
      </c>
      <c r="J91" s="3" t="s">
        <v>134</v>
      </c>
      <c r="K91" s="3" t="s">
        <v>76</v>
      </c>
      <c r="L91" s="3">
        <v>50</v>
      </c>
      <c r="M91" s="3" t="s">
        <v>85</v>
      </c>
      <c r="N91" s="3">
        <v>3</v>
      </c>
      <c r="O91" s="3" t="s">
        <v>86</v>
      </c>
      <c r="P91" s="3" t="s">
        <v>79</v>
      </c>
    </row>
    <row r="92" spans="1:16" s="5" customFormat="1" x14ac:dyDescent="0.3">
      <c r="A92" s="5">
        <v>19</v>
      </c>
      <c r="B92" s="5">
        <v>1</v>
      </c>
      <c r="C92" s="5" t="s">
        <v>136</v>
      </c>
      <c r="D92" s="5" t="s">
        <v>81</v>
      </c>
      <c r="E92" s="5" t="s">
        <v>137</v>
      </c>
      <c r="I92" s="5" t="s">
        <v>83</v>
      </c>
      <c r="J92" s="5" t="s">
        <v>138</v>
      </c>
      <c r="K92" s="5" t="s">
        <v>76</v>
      </c>
      <c r="L92" s="5">
        <v>150</v>
      </c>
      <c r="M92" s="5" t="s">
        <v>85</v>
      </c>
      <c r="N92" s="5">
        <v>4</v>
      </c>
      <c r="O92" s="5" t="s">
        <v>78</v>
      </c>
      <c r="P92" s="5" t="s">
        <v>79</v>
      </c>
    </row>
    <row r="93" spans="1:16" s="5" customFormat="1" x14ac:dyDescent="0.3">
      <c r="A93" s="5">
        <v>20</v>
      </c>
      <c r="B93" s="5">
        <v>1</v>
      </c>
      <c r="C93" s="5" t="s">
        <v>139</v>
      </c>
      <c r="D93" s="5" t="s">
        <v>74</v>
      </c>
      <c r="I93" s="5" t="s">
        <v>75</v>
      </c>
      <c r="K93" s="5" t="s">
        <v>76</v>
      </c>
      <c r="L93" s="5">
        <v>2000</v>
      </c>
      <c r="M93" s="5" t="s">
        <v>77</v>
      </c>
      <c r="N93" s="5">
        <v>24</v>
      </c>
      <c r="O93" s="5" t="s">
        <v>78</v>
      </c>
      <c r="P93" s="5" t="s">
        <v>79</v>
      </c>
    </row>
    <row r="94" spans="1:16" x14ac:dyDescent="0.3">
      <c r="A94" s="3">
        <v>20</v>
      </c>
      <c r="B94" s="3">
        <v>2</v>
      </c>
      <c r="C94" s="3" t="s">
        <v>139</v>
      </c>
      <c r="D94" s="3" t="s">
        <v>74</v>
      </c>
      <c r="E94" s="3">
        <v>163.69999999999999</v>
      </c>
      <c r="F94" s="3" t="s">
        <v>100</v>
      </c>
      <c r="I94" s="3" t="s">
        <v>75</v>
      </c>
      <c r="K94" s="3" t="s">
        <v>76</v>
      </c>
      <c r="L94" s="3">
        <v>500</v>
      </c>
      <c r="M94" s="3" t="s">
        <v>140</v>
      </c>
      <c r="N94" s="3">
        <v>28</v>
      </c>
      <c r="O94" s="3" t="s">
        <v>86</v>
      </c>
      <c r="P94" s="3" t="s">
        <v>90</v>
      </c>
    </row>
    <row r="95" spans="1:16" x14ac:dyDescent="0.3">
      <c r="A95" s="3">
        <v>20</v>
      </c>
      <c r="B95" s="3">
        <v>3</v>
      </c>
      <c r="C95" s="3" t="s">
        <v>139</v>
      </c>
      <c r="D95" s="3" t="s">
        <v>74</v>
      </c>
      <c r="E95" s="3">
        <v>163.69999999999999</v>
      </c>
      <c r="F95" s="3" t="s">
        <v>100</v>
      </c>
      <c r="I95" s="3" t="s">
        <v>75</v>
      </c>
      <c r="K95" s="3" t="s">
        <v>76</v>
      </c>
      <c r="L95" s="3">
        <v>1000</v>
      </c>
      <c r="M95" s="3" t="s">
        <v>140</v>
      </c>
      <c r="N95" s="3">
        <v>28</v>
      </c>
      <c r="O95" s="3" t="s">
        <v>86</v>
      </c>
      <c r="P95" s="3" t="s">
        <v>90</v>
      </c>
    </row>
    <row r="96" spans="1:16" x14ac:dyDescent="0.3">
      <c r="A96" s="3">
        <v>20</v>
      </c>
      <c r="B96" s="3">
        <v>4</v>
      </c>
      <c r="C96" s="3" t="s">
        <v>139</v>
      </c>
      <c r="D96" s="3" t="s">
        <v>74</v>
      </c>
      <c r="E96" s="3">
        <v>163.69999999999999</v>
      </c>
      <c r="F96" s="3" t="s">
        <v>100</v>
      </c>
      <c r="I96" s="3" t="s">
        <v>75</v>
      </c>
      <c r="K96" s="3" t="s">
        <v>76</v>
      </c>
      <c r="L96" s="3">
        <v>2000</v>
      </c>
      <c r="M96" s="3" t="s">
        <v>140</v>
      </c>
      <c r="N96" s="3">
        <v>28</v>
      </c>
      <c r="O96" s="3" t="s">
        <v>86</v>
      </c>
      <c r="P96" s="3" t="s">
        <v>90</v>
      </c>
    </row>
    <row r="97" spans="1:16" x14ac:dyDescent="0.3">
      <c r="A97" s="3">
        <v>20</v>
      </c>
      <c r="B97" s="3">
        <v>5</v>
      </c>
      <c r="C97" s="3" t="s">
        <v>139</v>
      </c>
      <c r="D97" s="3" t="s">
        <v>74</v>
      </c>
      <c r="E97" s="3">
        <v>188.6</v>
      </c>
      <c r="F97" s="3" t="s">
        <v>100</v>
      </c>
      <c r="I97" s="3" t="s">
        <v>75</v>
      </c>
      <c r="K97" s="3" t="s">
        <v>76</v>
      </c>
      <c r="L97" s="3">
        <v>500</v>
      </c>
      <c r="M97" s="3" t="s">
        <v>140</v>
      </c>
      <c r="N97" s="3">
        <v>28</v>
      </c>
      <c r="O97" s="3" t="s">
        <v>86</v>
      </c>
      <c r="P97" s="3" t="s">
        <v>90</v>
      </c>
    </row>
    <row r="98" spans="1:16" x14ac:dyDescent="0.3">
      <c r="A98" s="3">
        <v>20</v>
      </c>
      <c r="B98" s="3">
        <v>6</v>
      </c>
      <c r="C98" s="3" t="s">
        <v>139</v>
      </c>
      <c r="D98" s="3" t="s">
        <v>74</v>
      </c>
      <c r="E98" s="3">
        <v>188.6</v>
      </c>
      <c r="F98" s="3" t="s">
        <v>100</v>
      </c>
      <c r="I98" s="3" t="s">
        <v>75</v>
      </c>
      <c r="K98" s="3" t="s">
        <v>76</v>
      </c>
      <c r="L98" s="3">
        <v>1000</v>
      </c>
      <c r="M98" s="3" t="s">
        <v>140</v>
      </c>
      <c r="N98" s="3">
        <v>28</v>
      </c>
      <c r="O98" s="3" t="s">
        <v>86</v>
      </c>
      <c r="P98" s="3" t="s">
        <v>90</v>
      </c>
    </row>
    <row r="99" spans="1:16" x14ac:dyDescent="0.3">
      <c r="A99" s="3">
        <v>20</v>
      </c>
      <c r="B99" s="3">
        <v>7</v>
      </c>
      <c r="C99" s="3" t="s">
        <v>139</v>
      </c>
      <c r="D99" s="3" t="s">
        <v>74</v>
      </c>
      <c r="E99" s="3">
        <v>188.6</v>
      </c>
      <c r="F99" s="3" t="s">
        <v>100</v>
      </c>
      <c r="I99" s="3" t="s">
        <v>75</v>
      </c>
      <c r="K99" s="3" t="s">
        <v>76</v>
      </c>
      <c r="L99" s="3">
        <v>2000</v>
      </c>
      <c r="M99" s="3" t="s">
        <v>140</v>
      </c>
      <c r="N99" s="3">
        <v>28</v>
      </c>
      <c r="O99" s="3" t="s">
        <v>86</v>
      </c>
      <c r="P99" s="3" t="s">
        <v>90</v>
      </c>
    </row>
    <row r="100" spans="1:16" s="5" customFormat="1" x14ac:dyDescent="0.3">
      <c r="A100" s="5">
        <v>21</v>
      </c>
      <c r="B100" s="5">
        <v>1</v>
      </c>
      <c r="C100" s="5" t="s">
        <v>73</v>
      </c>
      <c r="D100" s="5" t="s">
        <v>74</v>
      </c>
      <c r="E100" s="5">
        <v>27.01</v>
      </c>
      <c r="F100" s="5" t="s">
        <v>100</v>
      </c>
      <c r="I100" s="5" t="s">
        <v>141</v>
      </c>
      <c r="K100" s="5" t="s">
        <v>76</v>
      </c>
      <c r="L100" s="5">
        <v>25</v>
      </c>
      <c r="M100" s="5" t="s">
        <v>77</v>
      </c>
      <c r="N100" s="5">
        <v>30</v>
      </c>
      <c r="O100" s="5" t="s">
        <v>86</v>
      </c>
      <c r="P100" s="5" t="s">
        <v>90</v>
      </c>
    </row>
    <row r="101" spans="1:16" s="5" customFormat="1" x14ac:dyDescent="0.3"/>
  </sheetData>
  <autoFilter ref="A1:P100" xr:uid="{94D2D37C-F0EC-4E5D-970D-B8FBD13091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E7CD-2AE7-4A8A-A5C8-9D1D38D24790}">
  <dimension ref="A1:AH105"/>
  <sheetViews>
    <sheetView topLeftCell="A76" zoomScale="80" zoomScaleNormal="80" workbookViewId="0">
      <pane xSplit="1" topLeftCell="J1" activePane="topRight" state="frozen"/>
      <selection pane="topRight" activeCell="AH101" sqref="AH101"/>
    </sheetView>
  </sheetViews>
  <sheetFormatPr defaultRowHeight="14.4" x14ac:dyDescent="0.3"/>
  <cols>
    <col min="3" max="3" width="7.109375" bestFit="1" customWidth="1"/>
    <col min="4" max="4" width="12.109375" bestFit="1" customWidth="1"/>
    <col min="5" max="6" width="12.109375" customWidth="1"/>
    <col min="7" max="7" width="7.109375" style="10" bestFit="1" customWidth="1"/>
    <col min="8" max="8" width="12.109375" style="10" bestFit="1" customWidth="1"/>
    <col min="9" max="9" width="11.33203125" bestFit="1" customWidth="1"/>
    <col min="10" max="10" width="6.5546875" bestFit="1" customWidth="1"/>
    <col min="11" max="11" width="12" bestFit="1" customWidth="1"/>
    <col min="12" max="12" width="6.5546875" bestFit="1" customWidth="1"/>
    <col min="13" max="13" width="12" bestFit="1" customWidth="1"/>
    <col min="14" max="14" width="20.33203125" bestFit="1" customWidth="1"/>
    <col min="15" max="15" width="30.33203125" bestFit="1" customWidth="1"/>
    <col min="16" max="16" width="13.5546875" bestFit="1" customWidth="1"/>
    <col min="17" max="17" width="19.109375" bestFit="1" customWidth="1"/>
    <col min="18" max="18" width="19.88671875" bestFit="1" customWidth="1"/>
    <col min="19" max="19" width="20" bestFit="1" customWidth="1"/>
    <col min="20" max="20" width="15.33203125" bestFit="1" customWidth="1"/>
    <col min="21" max="21" width="24" bestFit="1" customWidth="1"/>
    <col min="22" max="22" width="24" style="10" customWidth="1"/>
    <col min="25" max="25" width="6.109375" bestFit="1" customWidth="1"/>
    <col min="27" max="27" width="12.44140625" bestFit="1" customWidth="1"/>
    <col min="28" max="28" width="18.33203125" bestFit="1" customWidth="1"/>
    <col min="29" max="29" width="15" bestFit="1" customWidth="1"/>
    <col min="30" max="30" width="20.5546875" bestFit="1" customWidth="1"/>
    <col min="31" max="31" width="15.88671875" bestFit="1" customWidth="1"/>
    <col min="32" max="32" width="13.33203125" bestFit="1" customWidth="1"/>
    <col min="33" max="33" width="13.88671875" style="10" bestFit="1" customWidth="1"/>
    <col min="34" max="34" width="25.109375" style="3" bestFit="1" customWidth="1"/>
  </cols>
  <sheetData>
    <row r="1" spans="1:34" x14ac:dyDescent="0.3">
      <c r="A1" s="1" t="s">
        <v>0</v>
      </c>
      <c r="B1" s="2" t="s">
        <v>1</v>
      </c>
      <c r="C1" s="6" t="s">
        <v>142</v>
      </c>
      <c r="D1" s="6" t="s">
        <v>143</v>
      </c>
      <c r="E1" s="6" t="s">
        <v>254</v>
      </c>
      <c r="F1" s="6" t="s">
        <v>255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166</v>
      </c>
      <c r="AD1" s="6" t="s">
        <v>167</v>
      </c>
      <c r="AE1" s="6" t="s">
        <v>168</v>
      </c>
      <c r="AF1" s="6" t="s">
        <v>169</v>
      </c>
      <c r="AG1" s="20" t="s">
        <v>170</v>
      </c>
      <c r="AH1" s="6" t="s">
        <v>171</v>
      </c>
    </row>
    <row r="2" spans="1:34" x14ac:dyDescent="0.3">
      <c r="A2" s="3">
        <v>1</v>
      </c>
      <c r="B2" s="3">
        <v>1</v>
      </c>
      <c r="C2" s="3"/>
      <c r="D2" s="3"/>
      <c r="E2" s="3"/>
      <c r="F2" s="3"/>
      <c r="I2" s="3"/>
      <c r="J2" s="3"/>
      <c r="K2" s="3"/>
      <c r="L2" s="3">
        <v>1500</v>
      </c>
      <c r="M2" s="3" t="s">
        <v>77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0">
        <v>0</v>
      </c>
      <c r="AH2" s="3" t="s">
        <v>174</v>
      </c>
    </row>
    <row r="3" spans="1:34" x14ac:dyDescent="0.3">
      <c r="A3" s="3">
        <v>1</v>
      </c>
      <c r="B3" s="3">
        <v>2</v>
      </c>
      <c r="C3" s="3"/>
      <c r="D3" s="3"/>
      <c r="E3" s="3"/>
      <c r="F3" s="3"/>
      <c r="I3" s="3"/>
      <c r="J3" s="3"/>
      <c r="K3" s="3"/>
      <c r="L3" s="3">
        <v>1500</v>
      </c>
      <c r="M3" s="3" t="s">
        <v>77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0">
        <v>0</v>
      </c>
      <c r="AH3" s="3" t="s">
        <v>174</v>
      </c>
    </row>
    <row r="4" spans="1:34" x14ac:dyDescent="0.3">
      <c r="A4" s="3">
        <v>1</v>
      </c>
      <c r="B4" s="3">
        <v>3</v>
      </c>
      <c r="C4" s="3"/>
      <c r="D4" s="3"/>
      <c r="E4" s="3"/>
      <c r="F4" s="3"/>
      <c r="I4" s="3"/>
      <c r="J4" s="3"/>
      <c r="K4" s="3"/>
      <c r="L4" s="3">
        <v>1500</v>
      </c>
      <c r="M4" s="3" t="s">
        <v>77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10">
        <v>0</v>
      </c>
      <c r="AH4" s="3" t="s">
        <v>174</v>
      </c>
    </row>
    <row r="5" spans="1:34" x14ac:dyDescent="0.3">
      <c r="A5" s="3">
        <v>1</v>
      </c>
      <c r="B5" s="3">
        <v>4</v>
      </c>
      <c r="C5" s="3"/>
      <c r="D5" s="3"/>
      <c r="E5" s="3"/>
      <c r="F5" s="3"/>
      <c r="I5" s="3"/>
      <c r="J5" s="3"/>
      <c r="K5" s="3"/>
      <c r="L5" s="3">
        <v>1500</v>
      </c>
      <c r="M5" s="3" t="s">
        <v>77</v>
      </c>
      <c r="N5" s="3">
        <v>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0">
        <v>1</v>
      </c>
      <c r="AH5" s="3" t="s">
        <v>172</v>
      </c>
    </row>
    <row r="6" spans="1:34" x14ac:dyDescent="0.3">
      <c r="A6" s="3">
        <v>1</v>
      </c>
      <c r="B6" s="3">
        <v>5</v>
      </c>
      <c r="C6" s="3"/>
      <c r="D6" s="3"/>
      <c r="E6" s="3"/>
      <c r="F6" s="3"/>
      <c r="I6" s="3"/>
      <c r="J6" s="3"/>
      <c r="K6" s="3"/>
      <c r="L6" s="3">
        <v>1500</v>
      </c>
      <c r="M6" s="3" t="s">
        <v>77</v>
      </c>
      <c r="N6" s="3">
        <v>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0">
        <v>2</v>
      </c>
      <c r="AH6" s="3" t="s">
        <v>173</v>
      </c>
    </row>
    <row r="7" spans="1:34" x14ac:dyDescent="0.3">
      <c r="A7" s="3">
        <v>1</v>
      </c>
      <c r="B7" s="3">
        <v>6</v>
      </c>
      <c r="C7" s="3"/>
      <c r="D7" s="3"/>
      <c r="E7" s="3"/>
      <c r="F7" s="3"/>
      <c r="I7" s="3"/>
      <c r="J7" s="3"/>
      <c r="K7" s="3"/>
      <c r="L7" s="3">
        <v>1500</v>
      </c>
      <c r="M7" s="3" t="s">
        <v>77</v>
      </c>
      <c r="N7" s="3">
        <v>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10">
        <v>2</v>
      </c>
      <c r="AH7" s="3" t="s">
        <v>173</v>
      </c>
    </row>
    <row r="8" spans="1:34" s="23" customFormat="1" x14ac:dyDescent="0.3">
      <c r="A8" s="21">
        <v>2</v>
      </c>
      <c r="B8" s="21">
        <v>1</v>
      </c>
      <c r="C8" s="21"/>
      <c r="D8" s="21"/>
      <c r="E8" s="21">
        <v>10.9</v>
      </c>
      <c r="F8" s="21" t="s">
        <v>85</v>
      </c>
      <c r="G8" s="22"/>
      <c r="H8" s="22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>
        <v>0</v>
      </c>
      <c r="AH8" s="21" t="s">
        <v>174</v>
      </c>
    </row>
    <row r="9" spans="1:34" x14ac:dyDescent="0.3">
      <c r="A9" s="3">
        <v>2</v>
      </c>
      <c r="B9" s="3">
        <v>2</v>
      </c>
      <c r="C9" s="3"/>
      <c r="D9" s="3"/>
      <c r="E9" s="3">
        <v>10.9</v>
      </c>
      <c r="F9" s="3" t="s">
        <v>85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0">
        <v>0</v>
      </c>
      <c r="AH9" s="3" t="s">
        <v>174</v>
      </c>
    </row>
    <row r="10" spans="1:34" x14ac:dyDescent="0.3">
      <c r="A10" s="3">
        <v>2</v>
      </c>
      <c r="B10" s="3">
        <v>3</v>
      </c>
      <c r="C10" s="3"/>
      <c r="D10" s="3"/>
      <c r="E10" s="3">
        <v>10.9</v>
      </c>
      <c r="F10" s="3" t="s">
        <v>85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0">
        <v>0</v>
      </c>
      <c r="AH10" s="3" t="s">
        <v>174</v>
      </c>
    </row>
    <row r="11" spans="1:34" x14ac:dyDescent="0.3">
      <c r="A11" s="3">
        <v>2</v>
      </c>
      <c r="B11" s="3">
        <v>4</v>
      </c>
      <c r="C11" s="3"/>
      <c r="D11" s="3"/>
      <c r="E11" s="3">
        <v>10.9</v>
      </c>
      <c r="F11" s="3" t="s">
        <v>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0">
        <v>0</v>
      </c>
      <c r="AH11" s="3" t="s">
        <v>174</v>
      </c>
    </row>
    <row r="12" spans="1:34" x14ac:dyDescent="0.3">
      <c r="A12" s="3">
        <v>2</v>
      </c>
      <c r="B12" s="3">
        <v>5</v>
      </c>
      <c r="C12" s="3"/>
      <c r="D12" s="3"/>
      <c r="E12" s="3">
        <v>10.9</v>
      </c>
      <c r="F12" s="3" t="s">
        <v>85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0">
        <v>1</v>
      </c>
      <c r="AH12" s="3" t="s">
        <v>172</v>
      </c>
    </row>
    <row r="13" spans="1:34" s="23" customFormat="1" x14ac:dyDescent="0.3">
      <c r="A13" s="21">
        <v>3</v>
      </c>
      <c r="B13" s="21">
        <v>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8">
        <v>5.0566037735849001</v>
      </c>
      <c r="S13" s="28">
        <v>2.2975517890772101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>
        <v>0</v>
      </c>
      <c r="AH13" s="21" t="s">
        <v>174</v>
      </c>
    </row>
    <row r="14" spans="1:34" x14ac:dyDescent="0.3">
      <c r="A14" s="3">
        <v>3</v>
      </c>
      <c r="B14" s="3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8">
        <v>6.75471698113207</v>
      </c>
      <c r="S14" s="8">
        <v>3.3333333333333299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0">
        <v>0</v>
      </c>
      <c r="AH14" s="3" t="s">
        <v>174</v>
      </c>
    </row>
    <row r="15" spans="1:34" x14ac:dyDescent="0.3">
      <c r="A15" s="3">
        <v>3</v>
      </c>
      <c r="B15" s="3">
        <v>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8">
        <v>7.0188679245283003</v>
      </c>
      <c r="S15" s="8">
        <v>4.0112994350282403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10">
        <v>0</v>
      </c>
      <c r="AH15" s="3" t="s">
        <v>174</v>
      </c>
    </row>
    <row r="16" spans="1:34" x14ac:dyDescent="0.3">
      <c r="A16" s="3">
        <v>3</v>
      </c>
      <c r="B16" s="3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8">
        <v>8.3396226415094308</v>
      </c>
      <c r="S16" s="8">
        <v>3.0320150659133702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10">
        <v>0</v>
      </c>
      <c r="AH16" s="3" t="s">
        <v>174</v>
      </c>
    </row>
    <row r="17" spans="1:34" x14ac:dyDescent="0.3">
      <c r="A17" s="3">
        <v>3</v>
      </c>
      <c r="B17" s="3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8">
        <v>73.296500920810303</v>
      </c>
      <c r="P17" s="8"/>
      <c r="Q17" s="8"/>
      <c r="R17" s="3"/>
      <c r="S17" s="3"/>
      <c r="T17" s="3"/>
      <c r="U17" s="8">
        <v>97.236614853195107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10">
        <v>0</v>
      </c>
      <c r="AH17" s="3" t="s">
        <v>174</v>
      </c>
    </row>
    <row r="18" spans="1:34" x14ac:dyDescent="0.3">
      <c r="A18" s="3">
        <v>3</v>
      </c>
      <c r="B18" s="3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8">
        <v>76.243093922651894</v>
      </c>
      <c r="P18" s="8"/>
      <c r="Q18" s="8"/>
      <c r="R18" s="3"/>
      <c r="S18" s="3"/>
      <c r="T18" s="3"/>
      <c r="U18" s="8">
        <v>100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10">
        <v>0</v>
      </c>
      <c r="AH18" s="3" t="s">
        <v>174</v>
      </c>
    </row>
    <row r="19" spans="1:34" x14ac:dyDescent="0.3">
      <c r="A19" s="3">
        <v>3</v>
      </c>
      <c r="B19" s="3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8">
        <v>84.162062615101206</v>
      </c>
      <c r="P19" s="8"/>
      <c r="Q19" s="8"/>
      <c r="R19" s="3"/>
      <c r="S19" s="3"/>
      <c r="T19" s="3"/>
      <c r="U19" s="8">
        <v>96.891191709844506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0">
        <v>0</v>
      </c>
      <c r="AH19" s="3" t="s">
        <v>174</v>
      </c>
    </row>
    <row r="20" spans="1:34" x14ac:dyDescent="0.3">
      <c r="A20" s="3">
        <v>3</v>
      </c>
      <c r="B20" s="3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8">
        <v>67.771639042357194</v>
      </c>
      <c r="P20" s="8"/>
      <c r="Q20" s="8"/>
      <c r="R20" s="3"/>
      <c r="S20" s="3"/>
      <c r="T20" s="3"/>
      <c r="U20" s="3">
        <v>100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10">
        <v>1</v>
      </c>
      <c r="AH20" s="3" t="s">
        <v>172</v>
      </c>
    </row>
    <row r="21" spans="1:34" s="23" customFormat="1" x14ac:dyDescent="0.3">
      <c r="A21" s="21">
        <v>4</v>
      </c>
      <c r="B21" s="21">
        <v>1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>
        <v>-98.96</v>
      </c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2">
        <v>0</v>
      </c>
      <c r="AH21" s="21" t="s">
        <v>174</v>
      </c>
    </row>
    <row r="22" spans="1:34" x14ac:dyDescent="0.3">
      <c r="A22" s="3">
        <v>4</v>
      </c>
      <c r="B22" s="3">
        <v>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>
        <v>-99.45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0">
        <v>0</v>
      </c>
      <c r="AH22" s="3" t="s">
        <v>174</v>
      </c>
    </row>
    <row r="23" spans="1:34" x14ac:dyDescent="0.3">
      <c r="A23" s="3">
        <v>4</v>
      </c>
      <c r="B23" s="3">
        <v>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>
        <v>-98.99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0">
        <v>0</v>
      </c>
      <c r="AH23" s="3" t="s">
        <v>174</v>
      </c>
    </row>
    <row r="24" spans="1:34" x14ac:dyDescent="0.3">
      <c r="A24" s="3">
        <v>4</v>
      </c>
      <c r="B24" s="3">
        <v>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-99.72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10">
        <v>0</v>
      </c>
      <c r="AH24" s="3" t="s">
        <v>174</v>
      </c>
    </row>
    <row r="25" spans="1:34" x14ac:dyDescent="0.3">
      <c r="A25" s="3">
        <v>4</v>
      </c>
      <c r="B25" s="3">
        <v>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v>-99.54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10">
        <v>0</v>
      </c>
      <c r="AH25" s="3" t="s">
        <v>174</v>
      </c>
    </row>
    <row r="26" spans="1:34" x14ac:dyDescent="0.3">
      <c r="A26" s="3">
        <v>4</v>
      </c>
      <c r="B26" s="3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-99.81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10">
        <v>0</v>
      </c>
      <c r="AH26" s="3" t="s">
        <v>174</v>
      </c>
    </row>
    <row r="27" spans="1:34" x14ac:dyDescent="0.3">
      <c r="A27" s="3">
        <v>4</v>
      </c>
      <c r="B27" s="3">
        <v>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>
        <v>-99.56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10">
        <v>0</v>
      </c>
      <c r="AH27" s="3" t="s">
        <v>174</v>
      </c>
    </row>
    <row r="28" spans="1:34" x14ac:dyDescent="0.3">
      <c r="A28" s="3">
        <v>4</v>
      </c>
      <c r="B28" s="3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-99.25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10">
        <v>0</v>
      </c>
      <c r="AH28" s="3" t="s">
        <v>174</v>
      </c>
    </row>
    <row r="29" spans="1:34" x14ac:dyDescent="0.3">
      <c r="A29" s="3">
        <v>4</v>
      </c>
      <c r="B29" s="3">
        <v>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-99.85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10">
        <v>0</v>
      </c>
      <c r="AH29" s="3" t="s">
        <v>174</v>
      </c>
    </row>
    <row r="30" spans="1:34" x14ac:dyDescent="0.3">
      <c r="A30" s="3">
        <v>4</v>
      </c>
      <c r="B30" s="3">
        <v>10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-99.88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0">
        <v>0</v>
      </c>
      <c r="AH30" s="3" t="s">
        <v>174</v>
      </c>
    </row>
    <row r="31" spans="1:34" s="23" customFormat="1" x14ac:dyDescent="0.3">
      <c r="A31" s="21">
        <v>5</v>
      </c>
      <c r="B31" s="21">
        <v>1</v>
      </c>
      <c r="C31" s="21"/>
      <c r="D31" s="21"/>
      <c r="E31" s="21"/>
      <c r="F31" s="21"/>
      <c r="G31" s="21">
        <v>27</v>
      </c>
      <c r="H31" s="21" t="s">
        <v>260</v>
      </c>
      <c r="I31" s="21" t="s">
        <v>259</v>
      </c>
      <c r="J31" s="21"/>
      <c r="K31" s="21"/>
      <c r="L31" s="21"/>
      <c r="M31" s="21"/>
      <c r="N31" s="21"/>
      <c r="O31" s="21"/>
      <c r="P31" s="28">
        <v>279.435483870967</v>
      </c>
      <c r="Q31" s="21" t="s">
        <v>50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2">
        <v>0</v>
      </c>
      <c r="AH31" s="21" t="s">
        <v>174</v>
      </c>
    </row>
    <row r="32" spans="1:34" x14ac:dyDescent="0.3">
      <c r="A32" s="3">
        <v>5</v>
      </c>
      <c r="B32" s="3">
        <v>2</v>
      </c>
      <c r="C32" s="3"/>
      <c r="D32" s="3"/>
      <c r="E32" s="3"/>
      <c r="F32" s="3"/>
      <c r="G32" s="3">
        <v>27</v>
      </c>
      <c r="H32" s="3" t="s">
        <v>260</v>
      </c>
      <c r="I32" s="3" t="s">
        <v>259</v>
      </c>
      <c r="J32" s="3"/>
      <c r="K32" s="3"/>
      <c r="L32" s="3"/>
      <c r="M32" s="3"/>
      <c r="N32" s="3"/>
      <c r="O32" s="3"/>
      <c r="P32" s="8">
        <v>270.96774193548299</v>
      </c>
      <c r="Q32" s="3" t="s">
        <v>50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10">
        <v>0</v>
      </c>
      <c r="AH32" s="3" t="s">
        <v>174</v>
      </c>
    </row>
    <row r="33" spans="1:34" x14ac:dyDescent="0.3">
      <c r="A33" s="3">
        <v>5</v>
      </c>
      <c r="B33" s="3">
        <v>3</v>
      </c>
      <c r="C33" s="3"/>
      <c r="D33" s="3"/>
      <c r="E33" s="3"/>
      <c r="F33" s="3"/>
      <c r="G33" s="3">
        <v>27</v>
      </c>
      <c r="H33" s="3" t="s">
        <v>260</v>
      </c>
      <c r="I33" s="3" t="s">
        <v>259</v>
      </c>
      <c r="J33" s="3"/>
      <c r="K33" s="3"/>
      <c r="L33" s="3"/>
      <c r="M33" s="3"/>
      <c r="N33" s="3"/>
      <c r="O33" s="3"/>
      <c r="P33" s="8">
        <v>77.419354838709594</v>
      </c>
      <c r="Q33" s="3" t="s">
        <v>50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10">
        <v>1</v>
      </c>
      <c r="AH33" s="3" t="s">
        <v>172</v>
      </c>
    </row>
    <row r="34" spans="1:34" x14ac:dyDescent="0.3">
      <c r="A34" s="3">
        <v>5</v>
      </c>
      <c r="B34" s="3">
        <v>4</v>
      </c>
      <c r="C34" s="3"/>
      <c r="D34" s="3"/>
      <c r="E34" s="3"/>
      <c r="F34" s="3"/>
      <c r="G34" s="3">
        <v>27</v>
      </c>
      <c r="H34" s="3" t="s">
        <v>260</v>
      </c>
      <c r="I34" s="3" t="s">
        <v>259</v>
      </c>
      <c r="J34" s="3"/>
      <c r="K34" s="3"/>
      <c r="L34" s="3"/>
      <c r="M34" s="3"/>
      <c r="N34" s="3"/>
      <c r="O34" s="3"/>
      <c r="P34" s="8">
        <v>13.3064516129031</v>
      </c>
      <c r="Q34" s="3" t="s">
        <v>50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0">
        <v>1</v>
      </c>
      <c r="AH34" s="3" t="s">
        <v>172</v>
      </c>
    </row>
    <row r="35" spans="1:34" s="23" customFormat="1" x14ac:dyDescent="0.3">
      <c r="A35" s="21">
        <v>6</v>
      </c>
      <c r="B35" s="21">
        <v>1</v>
      </c>
      <c r="C35" s="21"/>
      <c r="D35" s="21"/>
      <c r="E35" s="21"/>
      <c r="F35" s="21"/>
      <c r="G35" s="21"/>
      <c r="H35" s="21"/>
      <c r="I35" s="21"/>
      <c r="J35" s="21">
        <v>1000</v>
      </c>
      <c r="K35" s="21" t="s">
        <v>85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2">
        <v>0</v>
      </c>
      <c r="AH35" s="21" t="s">
        <v>174</v>
      </c>
    </row>
    <row r="36" spans="1:34" x14ac:dyDescent="0.3">
      <c r="A36" s="3">
        <v>6</v>
      </c>
      <c r="B36" s="3">
        <v>2</v>
      </c>
      <c r="C36" s="3"/>
      <c r="D36" s="3"/>
      <c r="E36" s="3"/>
      <c r="F36" s="3"/>
      <c r="G36" s="3"/>
      <c r="H36" s="3"/>
      <c r="I36" s="3"/>
      <c r="J36" s="3">
        <v>1000</v>
      </c>
      <c r="K36" s="3" t="s">
        <v>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10">
        <v>0</v>
      </c>
      <c r="AH36" s="3" t="s">
        <v>174</v>
      </c>
    </row>
    <row r="37" spans="1:34" x14ac:dyDescent="0.3">
      <c r="A37" s="3">
        <v>6</v>
      </c>
      <c r="B37" s="3">
        <v>3</v>
      </c>
      <c r="C37" s="3"/>
      <c r="D37" s="3"/>
      <c r="E37" s="3"/>
      <c r="F37" s="3"/>
      <c r="G37" s="3"/>
      <c r="H37" s="3"/>
      <c r="I37" s="3"/>
      <c r="J37" s="3">
        <v>1000</v>
      </c>
      <c r="K37" s="3" t="s">
        <v>85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10">
        <v>0</v>
      </c>
      <c r="AH37" s="3" t="s">
        <v>174</v>
      </c>
    </row>
    <row r="38" spans="1:34" x14ac:dyDescent="0.3">
      <c r="A38" s="3">
        <v>6</v>
      </c>
      <c r="B38" s="3">
        <v>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v>87.5</v>
      </c>
      <c r="V38" s="3"/>
      <c r="W38" s="3">
        <v>1.45</v>
      </c>
      <c r="X38" s="3" t="s">
        <v>175</v>
      </c>
      <c r="Y38" s="3">
        <v>109.1</v>
      </c>
      <c r="Z38" s="3" t="s">
        <v>176</v>
      </c>
      <c r="AA38" s="3"/>
      <c r="AB38" s="3"/>
      <c r="AC38" s="3"/>
      <c r="AD38" s="3"/>
      <c r="AE38" s="3"/>
      <c r="AF38" s="3"/>
      <c r="AG38" s="10">
        <v>0</v>
      </c>
      <c r="AH38" s="3" t="s">
        <v>174</v>
      </c>
    </row>
    <row r="39" spans="1:34" x14ac:dyDescent="0.3">
      <c r="A39" s="3">
        <v>6</v>
      </c>
      <c r="B39" s="3">
        <v>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v>86.7</v>
      </c>
      <c r="V39" s="3"/>
      <c r="W39" s="3">
        <v>1.34</v>
      </c>
      <c r="X39" s="3" t="s">
        <v>175</v>
      </c>
      <c r="Y39" s="3">
        <v>96</v>
      </c>
      <c r="Z39" s="3" t="s">
        <v>176</v>
      </c>
      <c r="AA39" s="3"/>
      <c r="AB39" s="3"/>
      <c r="AC39" s="3"/>
      <c r="AD39" s="3"/>
      <c r="AE39" s="3"/>
      <c r="AF39" s="3"/>
      <c r="AG39" s="10">
        <v>1</v>
      </c>
      <c r="AH39" s="3" t="s">
        <v>172</v>
      </c>
    </row>
    <row r="40" spans="1:34" x14ac:dyDescent="0.3">
      <c r="A40" s="3">
        <v>6</v>
      </c>
      <c r="B40" s="3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v>82.3</v>
      </c>
      <c r="V40" s="3"/>
      <c r="W40" s="3">
        <v>1.34</v>
      </c>
      <c r="X40" s="3" t="s">
        <v>175</v>
      </c>
      <c r="Y40" s="3">
        <v>83.3</v>
      </c>
      <c r="Z40" s="3" t="s">
        <v>176</v>
      </c>
      <c r="AA40" s="3"/>
      <c r="AB40" s="3"/>
      <c r="AC40" s="3"/>
      <c r="AD40" s="3"/>
      <c r="AE40" s="3"/>
      <c r="AF40" s="3"/>
      <c r="AG40" s="10">
        <v>1</v>
      </c>
      <c r="AH40" s="3" t="s">
        <v>172</v>
      </c>
    </row>
    <row r="41" spans="1:34" s="23" customFormat="1" x14ac:dyDescent="0.3">
      <c r="A41" s="21">
        <v>7</v>
      </c>
      <c r="B41" s="21">
        <v>1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>
        <v>100</v>
      </c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2">
        <v>0</v>
      </c>
      <c r="AH41" s="21" t="s">
        <v>174</v>
      </c>
    </row>
    <row r="42" spans="1:34" x14ac:dyDescent="0.3">
      <c r="A42" s="3">
        <v>7</v>
      </c>
      <c r="B42" s="3">
        <v>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>
        <v>100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10">
        <v>0</v>
      </c>
      <c r="AH42" s="3" t="s">
        <v>174</v>
      </c>
    </row>
    <row r="43" spans="1:34" x14ac:dyDescent="0.3">
      <c r="A43" s="3">
        <v>7</v>
      </c>
      <c r="B43" s="3">
        <v>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>
        <v>93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0">
        <v>0</v>
      </c>
      <c r="AH43" s="3" t="s">
        <v>174</v>
      </c>
    </row>
    <row r="44" spans="1:34" x14ac:dyDescent="0.3">
      <c r="A44" s="3">
        <v>7</v>
      </c>
      <c r="B44" s="3"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100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10">
        <v>0</v>
      </c>
      <c r="AH44" s="3" t="s">
        <v>174</v>
      </c>
    </row>
    <row r="45" spans="1:34" x14ac:dyDescent="0.3">
      <c r="A45" s="3">
        <v>7</v>
      </c>
      <c r="B45" s="3">
        <v>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100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10">
        <v>0</v>
      </c>
      <c r="AH45" s="3" t="s">
        <v>174</v>
      </c>
    </row>
    <row r="46" spans="1:34" x14ac:dyDescent="0.3">
      <c r="A46" s="3">
        <v>7</v>
      </c>
      <c r="B46" s="3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97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0">
        <v>0</v>
      </c>
      <c r="AH46" s="3" t="s">
        <v>174</v>
      </c>
    </row>
    <row r="47" spans="1:34" x14ac:dyDescent="0.3">
      <c r="A47" s="3">
        <v>7</v>
      </c>
      <c r="B47" s="3">
        <v>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100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10">
        <v>0</v>
      </c>
      <c r="AH47" s="3" t="s">
        <v>174</v>
      </c>
    </row>
    <row r="48" spans="1:34" x14ac:dyDescent="0.3">
      <c r="A48" s="3">
        <v>7</v>
      </c>
      <c r="B48" s="3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>
        <v>87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10">
        <v>0</v>
      </c>
      <c r="AH48" s="3" t="s">
        <v>174</v>
      </c>
    </row>
    <row r="49" spans="1:34" s="23" customFormat="1" x14ac:dyDescent="0.3">
      <c r="A49" s="21">
        <v>8</v>
      </c>
      <c r="B49" s="21">
        <v>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>
        <v>62.9</v>
      </c>
      <c r="AB49" s="21" t="s">
        <v>177</v>
      </c>
      <c r="AC49" s="21">
        <v>2.5099999999999998</v>
      </c>
      <c r="AD49" s="21" t="s">
        <v>178</v>
      </c>
      <c r="AE49" s="21">
        <v>51.6</v>
      </c>
      <c r="AF49" s="21"/>
      <c r="AG49" s="22">
        <v>1</v>
      </c>
      <c r="AH49" s="21" t="s">
        <v>172</v>
      </c>
    </row>
    <row r="50" spans="1:34" x14ac:dyDescent="0.3">
      <c r="A50" s="3">
        <v>8</v>
      </c>
      <c r="B50" s="3">
        <v>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 t="s">
        <v>179</v>
      </c>
      <c r="AB50" s="3" t="s">
        <v>177</v>
      </c>
      <c r="AC50" s="3">
        <v>1.78</v>
      </c>
      <c r="AD50" s="3" t="s">
        <v>178</v>
      </c>
      <c r="AE50" s="3">
        <v>54</v>
      </c>
      <c r="AF50" s="3"/>
      <c r="AG50" s="10">
        <v>1</v>
      </c>
      <c r="AH50" s="3" t="s">
        <v>172</v>
      </c>
    </row>
    <row r="51" spans="1:34" x14ac:dyDescent="0.3">
      <c r="A51" s="3">
        <v>8</v>
      </c>
      <c r="B51" s="3">
        <v>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24</v>
      </c>
      <c r="AB51" s="3" t="s">
        <v>177</v>
      </c>
      <c r="AC51" s="3">
        <v>0.7</v>
      </c>
      <c r="AD51" s="3" t="s">
        <v>178</v>
      </c>
      <c r="AE51" s="3">
        <v>61.9</v>
      </c>
      <c r="AF51" s="3"/>
      <c r="AG51" s="10">
        <v>2</v>
      </c>
      <c r="AH51" s="3" t="s">
        <v>173</v>
      </c>
    </row>
    <row r="52" spans="1:34" x14ac:dyDescent="0.3">
      <c r="A52" s="3">
        <v>8</v>
      </c>
      <c r="B52" s="3">
        <v>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24.3</v>
      </c>
      <c r="AB52" s="3" t="s">
        <v>177</v>
      </c>
      <c r="AC52" s="3">
        <v>0.68</v>
      </c>
      <c r="AD52" s="3" t="s">
        <v>178</v>
      </c>
      <c r="AE52" s="3">
        <v>73.8</v>
      </c>
      <c r="AF52" s="3"/>
      <c r="AG52" s="10">
        <v>2</v>
      </c>
      <c r="AH52" s="3" t="s">
        <v>173</v>
      </c>
    </row>
    <row r="53" spans="1:34" s="23" customFormat="1" x14ac:dyDescent="0.3">
      <c r="A53" s="21">
        <v>9</v>
      </c>
      <c r="B53" s="21">
        <v>1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8">
        <v>34.603174603174601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2">
        <v>1</v>
      </c>
      <c r="AH53" s="21" t="s">
        <v>172</v>
      </c>
    </row>
    <row r="54" spans="1:34" x14ac:dyDescent="0.3">
      <c r="A54" s="3">
        <v>9</v>
      </c>
      <c r="B54" s="3">
        <v>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8">
        <v>24.4444444444444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10">
        <v>1</v>
      </c>
      <c r="AH54" s="3" t="s">
        <v>172</v>
      </c>
    </row>
    <row r="55" spans="1:34" x14ac:dyDescent="0.3">
      <c r="A55" s="3">
        <v>9</v>
      </c>
      <c r="B55" s="3">
        <v>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8">
        <v>9.8412698412698401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10">
        <v>0</v>
      </c>
      <c r="AH55" s="3" t="s">
        <v>174</v>
      </c>
    </row>
    <row r="56" spans="1:34" x14ac:dyDescent="0.3">
      <c r="A56" s="3">
        <v>9</v>
      </c>
      <c r="B56" s="3">
        <v>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8">
        <v>15.2380952380952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10">
        <v>1</v>
      </c>
      <c r="AH56" s="3" t="s">
        <v>172</v>
      </c>
    </row>
    <row r="57" spans="1:34" x14ac:dyDescent="0.3">
      <c r="A57" s="3">
        <v>9</v>
      </c>
      <c r="B57" s="3">
        <v>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8">
        <v>35.238095238095198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10">
        <v>1</v>
      </c>
      <c r="AH57" s="3" t="s">
        <v>172</v>
      </c>
    </row>
    <row r="58" spans="1:34" s="14" customFormat="1" x14ac:dyDescent="0.3">
      <c r="A58" s="5">
        <v>10</v>
      </c>
      <c r="B58" s="5">
        <v>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</v>
      </c>
      <c r="AD58" s="5" t="s">
        <v>180</v>
      </c>
      <c r="AE58" s="5"/>
      <c r="AF58" s="5"/>
      <c r="AG58" s="16">
        <v>1</v>
      </c>
      <c r="AH58" s="5" t="s">
        <v>172</v>
      </c>
    </row>
    <row r="59" spans="1:34" x14ac:dyDescent="0.3">
      <c r="A59" s="3">
        <v>10</v>
      </c>
      <c r="B59" s="3">
        <v>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9</v>
      </c>
      <c r="AD59" s="3" t="s">
        <v>180</v>
      </c>
      <c r="AE59" s="3"/>
      <c r="AF59" s="3"/>
      <c r="AG59" s="10">
        <v>1</v>
      </c>
      <c r="AH59" s="3" t="s">
        <v>172</v>
      </c>
    </row>
    <row r="60" spans="1:34" s="14" customFormat="1" x14ac:dyDescent="0.3">
      <c r="A60" s="5">
        <v>11</v>
      </c>
      <c r="B60" s="5">
        <v>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>
        <v>100.36496350364899</v>
      </c>
      <c r="AG60" s="16">
        <v>0</v>
      </c>
      <c r="AH60" s="5" t="s">
        <v>174</v>
      </c>
    </row>
    <row r="61" spans="1:34" x14ac:dyDescent="0.3">
      <c r="A61" s="3">
        <v>11</v>
      </c>
      <c r="B61" s="3">
        <v>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>
        <v>102.55474452554699</v>
      </c>
      <c r="AG61" s="10">
        <v>0</v>
      </c>
      <c r="AH61" s="3" t="s">
        <v>174</v>
      </c>
    </row>
    <row r="62" spans="1:34" x14ac:dyDescent="0.3">
      <c r="A62" s="3">
        <v>11</v>
      </c>
      <c r="B62" s="3">
        <v>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>
        <v>99.635036496350295</v>
      </c>
      <c r="AG62" s="10">
        <v>0</v>
      </c>
      <c r="AH62" s="3" t="s">
        <v>174</v>
      </c>
    </row>
    <row r="63" spans="1:34" x14ac:dyDescent="0.3">
      <c r="A63" s="3">
        <v>11</v>
      </c>
      <c r="B63" s="3">
        <v>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>
        <v>100.729927007299</v>
      </c>
      <c r="AG63" s="10">
        <v>0</v>
      </c>
      <c r="AH63" s="3" t="s">
        <v>174</v>
      </c>
    </row>
    <row r="64" spans="1:34" x14ac:dyDescent="0.3">
      <c r="A64" s="3">
        <v>11</v>
      </c>
      <c r="B64" s="3">
        <v>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>
        <v>102.18978102189701</v>
      </c>
      <c r="AG64" s="10">
        <v>0</v>
      </c>
      <c r="AH64" s="3" t="s">
        <v>174</v>
      </c>
    </row>
    <row r="65" spans="1:34" x14ac:dyDescent="0.3">
      <c r="A65" s="3">
        <v>11</v>
      </c>
      <c r="B65" s="3">
        <v>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>
        <v>103.64963503649599</v>
      </c>
      <c r="AG65" s="10">
        <v>0</v>
      </c>
      <c r="AH65" s="3" t="s">
        <v>174</v>
      </c>
    </row>
    <row r="66" spans="1:34" x14ac:dyDescent="0.3">
      <c r="A66" s="3">
        <v>11</v>
      </c>
      <c r="B66" s="3">
        <v>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8">
        <v>100.729927007299</v>
      </c>
      <c r="AG66" s="10">
        <v>0</v>
      </c>
      <c r="AH66" s="3" t="s">
        <v>174</v>
      </c>
    </row>
    <row r="67" spans="1:34" x14ac:dyDescent="0.3">
      <c r="A67" s="3">
        <v>11</v>
      </c>
      <c r="B67" s="3">
        <v>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8">
        <v>102.18978102189701</v>
      </c>
      <c r="AG67" s="10">
        <v>0</v>
      </c>
      <c r="AH67" s="3" t="s">
        <v>174</v>
      </c>
    </row>
    <row r="68" spans="1:34" x14ac:dyDescent="0.3">
      <c r="A68" s="3">
        <v>11</v>
      </c>
      <c r="B68" s="3">
        <v>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>
        <v>99.110772114756301</v>
      </c>
      <c r="AG68" s="10">
        <v>0</v>
      </c>
      <c r="AH68" s="3" t="s">
        <v>174</v>
      </c>
    </row>
    <row r="69" spans="1:34" x14ac:dyDescent="0.3">
      <c r="A69" s="3">
        <v>11</v>
      </c>
      <c r="B69" s="3">
        <v>10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>
        <v>104.743537833524</v>
      </c>
      <c r="AG69" s="10">
        <v>0</v>
      </c>
      <c r="AH69" s="3" t="s">
        <v>174</v>
      </c>
    </row>
    <row r="70" spans="1:34" x14ac:dyDescent="0.3">
      <c r="A70" s="3">
        <v>11</v>
      </c>
      <c r="B70" s="3">
        <v>11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>
        <v>109.852939727669</v>
      </c>
      <c r="AG70" s="10">
        <v>0</v>
      </c>
      <c r="AH70" s="3" t="s">
        <v>174</v>
      </c>
    </row>
    <row r="71" spans="1:34" x14ac:dyDescent="0.3">
      <c r="A71" s="3">
        <v>11</v>
      </c>
      <c r="B71" s="3">
        <v>12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8">
        <v>105.109489051094</v>
      </c>
      <c r="AG71" s="10">
        <v>0</v>
      </c>
      <c r="AH71" s="3" t="s">
        <v>174</v>
      </c>
    </row>
    <row r="72" spans="1:34" s="14" customFormat="1" x14ac:dyDescent="0.3">
      <c r="A72" s="5">
        <v>12</v>
      </c>
      <c r="B72" s="5">
        <v>1</v>
      </c>
      <c r="C72" s="5">
        <v>684.6</v>
      </c>
      <c r="D72" s="5" t="s">
        <v>85</v>
      </c>
      <c r="E72" s="5"/>
      <c r="F72" s="5"/>
      <c r="G72" s="5">
        <v>3942.3</v>
      </c>
      <c r="H72" s="5" t="s">
        <v>85</v>
      </c>
      <c r="I72" s="5">
        <v>2.5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16">
        <v>0</v>
      </c>
      <c r="AH72" s="5" t="s">
        <v>174</v>
      </c>
    </row>
    <row r="73" spans="1:34" x14ac:dyDescent="0.3">
      <c r="A73" s="3">
        <v>12</v>
      </c>
      <c r="B73" s="3">
        <v>2</v>
      </c>
      <c r="C73" s="3">
        <v>6.5</v>
      </c>
      <c r="D73" s="3" t="s">
        <v>85</v>
      </c>
      <c r="E73" s="3"/>
      <c r="F73" s="3"/>
      <c r="G73" s="3">
        <v>73.599999999999994</v>
      </c>
      <c r="H73" s="3" t="s">
        <v>85</v>
      </c>
      <c r="I73" s="3">
        <v>13.6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10">
        <v>2</v>
      </c>
      <c r="AH73" s="3" t="s">
        <v>173</v>
      </c>
    </row>
    <row r="74" spans="1:34" x14ac:dyDescent="0.3">
      <c r="A74" s="3">
        <v>12</v>
      </c>
      <c r="B74" s="3">
        <v>3</v>
      </c>
      <c r="C74" s="3">
        <v>392</v>
      </c>
      <c r="D74" s="3" t="s">
        <v>85</v>
      </c>
      <c r="E74" s="3"/>
      <c r="F74" s="3"/>
      <c r="G74" s="3">
        <v>931.8</v>
      </c>
      <c r="H74" s="3" t="s">
        <v>85</v>
      </c>
      <c r="I74" s="3">
        <v>1.1000000000000001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10">
        <v>0</v>
      </c>
      <c r="AH74" s="3" t="s">
        <v>174</v>
      </c>
    </row>
    <row r="75" spans="1:34" x14ac:dyDescent="0.3">
      <c r="A75" s="3">
        <v>12</v>
      </c>
      <c r="B75" s="3">
        <v>4</v>
      </c>
      <c r="C75" s="3">
        <v>1557.6</v>
      </c>
      <c r="D75" s="3" t="s">
        <v>85</v>
      </c>
      <c r="E75" s="3"/>
      <c r="F75" s="3"/>
      <c r="G75" s="3">
        <v>2647</v>
      </c>
      <c r="H75" s="3" t="s">
        <v>85</v>
      </c>
      <c r="I75" s="3">
        <v>3.8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10">
        <v>1</v>
      </c>
      <c r="AH75" s="3" t="s">
        <v>172</v>
      </c>
    </row>
    <row r="76" spans="1:34" x14ac:dyDescent="0.3">
      <c r="A76" s="3">
        <v>12</v>
      </c>
      <c r="B76" s="3">
        <v>5</v>
      </c>
      <c r="C76" s="3">
        <v>421.6</v>
      </c>
      <c r="D76" s="3" t="s">
        <v>85</v>
      </c>
      <c r="E76" s="3"/>
      <c r="F76" s="3"/>
      <c r="G76" s="3">
        <v>657</v>
      </c>
      <c r="H76" s="3" t="s">
        <v>85</v>
      </c>
      <c r="I76" s="3">
        <v>1.5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10">
        <v>0</v>
      </c>
      <c r="AH76" s="3" t="s">
        <v>174</v>
      </c>
    </row>
    <row r="77" spans="1:34" s="14" customFormat="1" x14ac:dyDescent="0.3">
      <c r="A77" s="5">
        <v>13</v>
      </c>
      <c r="B77" s="5">
        <v>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16">
        <v>0</v>
      </c>
      <c r="AH77" s="5" t="s">
        <v>174</v>
      </c>
    </row>
    <row r="78" spans="1:34" x14ac:dyDescent="0.3">
      <c r="A78" s="3">
        <v>13</v>
      </c>
      <c r="B78" s="3">
        <v>2</v>
      </c>
      <c r="N78" s="3">
        <v>64.2</v>
      </c>
      <c r="AG78" s="10">
        <v>2</v>
      </c>
      <c r="AH78" s="3" t="s">
        <v>173</v>
      </c>
    </row>
    <row r="79" spans="1:34" s="14" customFormat="1" x14ac:dyDescent="0.3">
      <c r="A79" s="5">
        <v>14</v>
      </c>
      <c r="B79" s="5">
        <v>1</v>
      </c>
      <c r="G79" s="16"/>
      <c r="H79" s="16"/>
      <c r="N79" s="7">
        <v>29.999999999999901</v>
      </c>
      <c r="V79" s="16"/>
      <c r="AG79" s="16">
        <v>1</v>
      </c>
      <c r="AH79" s="5" t="s">
        <v>172</v>
      </c>
    </row>
    <row r="80" spans="1:34" x14ac:dyDescent="0.3">
      <c r="A80" s="3">
        <v>14</v>
      </c>
      <c r="B80" s="3">
        <v>2</v>
      </c>
      <c r="N80" s="8">
        <v>26.585365853658502</v>
      </c>
      <c r="AG80" s="10">
        <v>1</v>
      </c>
      <c r="AH80" s="3" t="s">
        <v>172</v>
      </c>
    </row>
    <row r="81" spans="1:34" s="14" customFormat="1" x14ac:dyDescent="0.3">
      <c r="A81" s="5">
        <v>15</v>
      </c>
      <c r="B81" s="5">
        <v>1</v>
      </c>
      <c r="G81" s="16"/>
      <c r="H81" s="16"/>
      <c r="T81" s="14">
        <v>2.79</v>
      </c>
      <c r="V81" s="16"/>
      <c r="X81" s="5"/>
      <c r="AG81" s="16">
        <v>0</v>
      </c>
      <c r="AH81" s="5" t="s">
        <v>174</v>
      </c>
    </row>
    <row r="82" spans="1:34" x14ac:dyDescent="0.3">
      <c r="A82" s="3">
        <v>15</v>
      </c>
      <c r="B82" s="3">
        <v>2</v>
      </c>
      <c r="T82">
        <v>7.61</v>
      </c>
      <c r="X82" s="3"/>
      <c r="AG82" s="10">
        <v>0</v>
      </c>
      <c r="AH82" s="3" t="s">
        <v>174</v>
      </c>
    </row>
    <row r="83" spans="1:34" x14ac:dyDescent="0.3">
      <c r="A83" s="3">
        <v>15</v>
      </c>
      <c r="B83" s="3">
        <v>3</v>
      </c>
      <c r="T83">
        <v>17.690000000000001</v>
      </c>
      <c r="X83" s="3"/>
      <c r="AG83" s="10">
        <v>1</v>
      </c>
      <c r="AH83" s="3" t="s">
        <v>172</v>
      </c>
    </row>
    <row r="84" spans="1:34" s="14" customFormat="1" x14ac:dyDescent="0.3">
      <c r="A84" s="5">
        <v>16</v>
      </c>
      <c r="B84" s="5">
        <v>1</v>
      </c>
      <c r="G84" s="16"/>
      <c r="H84" s="16"/>
      <c r="V84" s="17">
        <v>9.5950255102040796</v>
      </c>
      <c r="AG84" s="16">
        <v>2</v>
      </c>
      <c r="AH84" s="5" t="s">
        <v>173</v>
      </c>
    </row>
    <row r="85" spans="1:34" x14ac:dyDescent="0.3">
      <c r="A85" s="3">
        <v>16</v>
      </c>
      <c r="B85" s="3">
        <v>2</v>
      </c>
      <c r="V85" s="15">
        <v>13.2684948979591</v>
      </c>
      <c r="AG85" s="10">
        <v>2</v>
      </c>
      <c r="AH85" s="3" t="s">
        <v>173</v>
      </c>
    </row>
    <row r="86" spans="1:34" x14ac:dyDescent="0.3">
      <c r="A86" s="3">
        <v>16</v>
      </c>
      <c r="B86" s="3">
        <v>3</v>
      </c>
      <c r="V86" s="15">
        <v>9.5950255102040796</v>
      </c>
      <c r="AG86" s="10">
        <v>2</v>
      </c>
      <c r="AH86" s="3" t="s">
        <v>173</v>
      </c>
    </row>
    <row r="87" spans="1:34" s="14" customFormat="1" x14ac:dyDescent="0.3">
      <c r="A87" s="5">
        <v>17</v>
      </c>
      <c r="B87" s="5">
        <v>1</v>
      </c>
      <c r="G87" s="16"/>
      <c r="H87" s="16"/>
      <c r="V87" s="16"/>
      <c r="AC87" s="18">
        <v>7.7972709551657404</v>
      </c>
      <c r="AD87" s="16" t="s">
        <v>180</v>
      </c>
      <c r="AG87" s="16">
        <v>2</v>
      </c>
      <c r="AH87" s="5" t="s">
        <v>173</v>
      </c>
    </row>
    <row r="88" spans="1:34" x14ac:dyDescent="0.3">
      <c r="A88" s="3">
        <v>17</v>
      </c>
      <c r="B88" s="3">
        <v>2</v>
      </c>
      <c r="AC88" s="19">
        <v>77.972709551656905</v>
      </c>
      <c r="AD88" s="10" t="s">
        <v>180</v>
      </c>
      <c r="AG88" s="10">
        <v>2</v>
      </c>
      <c r="AH88" s="3" t="s">
        <v>173</v>
      </c>
    </row>
    <row r="89" spans="1:34" s="14" customFormat="1" x14ac:dyDescent="0.3">
      <c r="A89" s="5">
        <v>18</v>
      </c>
      <c r="B89" s="5">
        <v>1</v>
      </c>
      <c r="G89" s="16">
        <v>139</v>
      </c>
      <c r="H89" s="5" t="s">
        <v>85</v>
      </c>
      <c r="V89" s="16"/>
      <c r="AG89" s="16">
        <v>0</v>
      </c>
      <c r="AH89" s="5" t="s">
        <v>174</v>
      </c>
    </row>
    <row r="90" spans="1:34" x14ac:dyDescent="0.3">
      <c r="A90" s="3">
        <v>18</v>
      </c>
      <c r="B90" s="3">
        <v>2</v>
      </c>
      <c r="G90" s="10">
        <v>54.6</v>
      </c>
      <c r="H90" s="3" t="s">
        <v>85</v>
      </c>
      <c r="AG90" s="10">
        <v>1</v>
      </c>
      <c r="AH90" s="3" t="s">
        <v>172</v>
      </c>
    </row>
    <row r="91" spans="1:34" x14ac:dyDescent="0.3">
      <c r="A91" s="3">
        <v>18</v>
      </c>
      <c r="B91" s="3">
        <v>3</v>
      </c>
      <c r="G91" s="10">
        <v>106.7</v>
      </c>
      <c r="H91" s="3" t="s">
        <v>85</v>
      </c>
      <c r="AG91" s="10">
        <v>1</v>
      </c>
      <c r="AH91" s="3" t="s">
        <v>172</v>
      </c>
    </row>
    <row r="92" spans="1:34" s="16" customFormat="1" x14ac:dyDescent="0.3">
      <c r="A92" s="16">
        <v>19</v>
      </c>
      <c r="B92" s="16">
        <v>1</v>
      </c>
      <c r="C92" s="16">
        <v>50</v>
      </c>
      <c r="D92" s="16" t="s">
        <v>85</v>
      </c>
      <c r="G92" s="16">
        <v>190</v>
      </c>
      <c r="H92" s="16" t="s">
        <v>85</v>
      </c>
      <c r="AG92" s="16">
        <v>0</v>
      </c>
      <c r="AH92" s="5" t="s">
        <v>174</v>
      </c>
    </row>
    <row r="93" spans="1:34" s="14" customFormat="1" x14ac:dyDescent="0.3">
      <c r="A93" s="5">
        <v>20</v>
      </c>
      <c r="B93" s="5">
        <v>1</v>
      </c>
      <c r="G93" s="16"/>
      <c r="H93" s="16"/>
      <c r="L93" s="16">
        <v>2000</v>
      </c>
      <c r="M93" s="16" t="s">
        <v>77</v>
      </c>
      <c r="V93" s="16"/>
      <c r="AG93" s="16">
        <v>0</v>
      </c>
      <c r="AH93" s="5" t="s">
        <v>174</v>
      </c>
    </row>
    <row r="94" spans="1:34" x14ac:dyDescent="0.3">
      <c r="A94" s="3">
        <v>20</v>
      </c>
      <c r="B94" s="3">
        <v>2</v>
      </c>
      <c r="L94" s="10">
        <v>2000</v>
      </c>
      <c r="M94" s="10" t="s">
        <v>77</v>
      </c>
      <c r="Y94" s="19">
        <v>32.409638554216798</v>
      </c>
      <c r="Z94" s="10" t="s">
        <v>100</v>
      </c>
      <c r="AG94" s="10">
        <v>0</v>
      </c>
      <c r="AH94" s="3" t="s">
        <v>174</v>
      </c>
    </row>
    <row r="95" spans="1:34" x14ac:dyDescent="0.3">
      <c r="A95" s="3">
        <v>20</v>
      </c>
      <c r="B95" s="3">
        <v>3</v>
      </c>
      <c r="L95" s="10">
        <v>2000</v>
      </c>
      <c r="M95" s="10" t="s">
        <v>77</v>
      </c>
      <c r="Y95" s="19">
        <v>31.204819277108399</v>
      </c>
      <c r="Z95" s="10" t="s">
        <v>100</v>
      </c>
      <c r="AG95" s="10">
        <v>0</v>
      </c>
      <c r="AH95" s="3" t="s">
        <v>174</v>
      </c>
    </row>
    <row r="96" spans="1:34" x14ac:dyDescent="0.3">
      <c r="A96" s="3">
        <v>20</v>
      </c>
      <c r="B96" s="3">
        <v>4</v>
      </c>
      <c r="L96" s="10">
        <v>2000</v>
      </c>
      <c r="M96" s="10" t="s">
        <v>77</v>
      </c>
      <c r="Y96" s="19">
        <v>34.096385542168598</v>
      </c>
      <c r="Z96" s="10" t="s">
        <v>100</v>
      </c>
      <c r="AG96" s="10">
        <v>0</v>
      </c>
      <c r="AH96" s="3" t="s">
        <v>174</v>
      </c>
    </row>
    <row r="97" spans="1:34" x14ac:dyDescent="0.3">
      <c r="A97" s="3">
        <v>20</v>
      </c>
      <c r="B97" s="3">
        <v>5</v>
      </c>
      <c r="L97" s="10">
        <v>2000</v>
      </c>
      <c r="M97" s="10" t="s">
        <v>77</v>
      </c>
      <c r="Y97" s="19">
        <v>41.132698307606198</v>
      </c>
      <c r="Z97" s="10" t="s">
        <v>100</v>
      </c>
      <c r="AG97" s="10">
        <v>0</v>
      </c>
      <c r="AH97" s="3" t="s">
        <v>174</v>
      </c>
    </row>
    <row r="98" spans="1:34" x14ac:dyDescent="0.3">
      <c r="A98" s="3">
        <v>20</v>
      </c>
      <c r="B98" s="3">
        <v>6</v>
      </c>
      <c r="L98" s="10">
        <v>2000</v>
      </c>
      <c r="M98" s="10" t="s">
        <v>77</v>
      </c>
      <c r="Y98" s="19">
        <v>41.739637299408102</v>
      </c>
      <c r="Z98" s="10" t="s">
        <v>100</v>
      </c>
      <c r="AG98" s="10">
        <v>0</v>
      </c>
      <c r="AH98" s="3" t="s">
        <v>174</v>
      </c>
    </row>
    <row r="99" spans="1:34" x14ac:dyDescent="0.3">
      <c r="A99" s="3">
        <v>20</v>
      </c>
      <c r="B99" s="3">
        <v>7</v>
      </c>
      <c r="L99" s="10">
        <v>2000</v>
      </c>
      <c r="M99" s="10" t="s">
        <v>77</v>
      </c>
      <c r="Y99" s="19">
        <v>48.871170453081199</v>
      </c>
      <c r="Z99" s="10" t="s">
        <v>100</v>
      </c>
      <c r="AG99" s="10">
        <v>0</v>
      </c>
      <c r="AH99" s="3" t="s">
        <v>174</v>
      </c>
    </row>
    <row r="100" spans="1:34" s="14" customFormat="1" x14ac:dyDescent="0.3">
      <c r="A100" s="16">
        <v>21</v>
      </c>
      <c r="B100" s="16">
        <v>1</v>
      </c>
      <c r="G100" s="16"/>
      <c r="H100" s="16"/>
      <c r="N100" s="16">
        <v>100</v>
      </c>
      <c r="O100" s="16">
        <v>9</v>
      </c>
      <c r="P100" s="16">
        <v>2.65</v>
      </c>
      <c r="Q100" s="16" t="s">
        <v>100</v>
      </c>
      <c r="V100" s="16"/>
      <c r="AG100" s="16">
        <v>0</v>
      </c>
      <c r="AH100" s="5" t="s">
        <v>174</v>
      </c>
    </row>
    <row r="101" spans="1:34" s="14" customFormat="1" x14ac:dyDescent="0.3">
      <c r="A101" s="5"/>
      <c r="B101" s="5"/>
      <c r="G101" s="16"/>
      <c r="H101" s="16"/>
      <c r="V101" s="16"/>
      <c r="AG101" s="16"/>
      <c r="AH101" s="5"/>
    </row>
    <row r="102" spans="1:34" x14ac:dyDescent="0.3">
      <c r="A102" s="3"/>
      <c r="B102" s="3"/>
    </row>
    <row r="103" spans="1:34" x14ac:dyDescent="0.3">
      <c r="A103" s="3"/>
      <c r="B103" s="3"/>
    </row>
    <row r="104" spans="1:34" x14ac:dyDescent="0.3">
      <c r="A104" s="3"/>
      <c r="B104" s="3"/>
    </row>
    <row r="105" spans="1:34" x14ac:dyDescent="0.3">
      <c r="A105" s="3"/>
      <c r="B105" s="3"/>
    </row>
  </sheetData>
  <sortState xmlns:xlrd2="http://schemas.microsoft.com/office/spreadsheetml/2017/richdata2" ref="A2:AF105">
    <sortCondition ref="A1:A1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F598-1999-4244-8095-5C1DB75FACEE}">
  <dimension ref="A1:E22"/>
  <sheetViews>
    <sheetView zoomScale="80" zoomScaleNormal="80" workbookViewId="0">
      <selection activeCell="A5" sqref="A5"/>
    </sheetView>
  </sheetViews>
  <sheetFormatPr defaultColWidth="9.109375" defaultRowHeight="14.4" x14ac:dyDescent="0.3"/>
  <cols>
    <col min="1" max="1" width="9.109375" style="3"/>
    <col min="2" max="2" width="21.5546875" style="3" bestFit="1" customWidth="1"/>
    <col min="3" max="3" width="5.44140625" style="3" bestFit="1" customWidth="1"/>
    <col min="4" max="4" width="147.88671875" style="3" bestFit="1" customWidth="1"/>
    <col min="5" max="5" width="50.5546875" style="3" bestFit="1" customWidth="1"/>
    <col min="6" max="16384" width="9.109375" style="3"/>
  </cols>
  <sheetData>
    <row r="1" spans="1:5" s="9" customFormat="1" ht="31.5" customHeight="1" x14ac:dyDescent="0.3">
      <c r="A1" s="1" t="s">
        <v>0</v>
      </c>
      <c r="B1" s="1" t="s">
        <v>181</v>
      </c>
      <c r="C1" s="1" t="s">
        <v>182</v>
      </c>
      <c r="D1" s="4" t="s">
        <v>183</v>
      </c>
      <c r="E1" s="1" t="s">
        <v>184</v>
      </c>
    </row>
    <row r="2" spans="1:5" s="24" customFormat="1" x14ac:dyDescent="0.3">
      <c r="A2" s="24">
        <v>1</v>
      </c>
      <c r="B2" s="24" t="s">
        <v>185</v>
      </c>
      <c r="C2" s="24">
        <v>2022</v>
      </c>
      <c r="D2" s="24" t="s">
        <v>186</v>
      </c>
    </row>
    <row r="3" spans="1:5" s="24" customFormat="1" x14ac:dyDescent="0.3">
      <c r="A3" s="24">
        <v>2</v>
      </c>
      <c r="B3" s="24" t="s">
        <v>187</v>
      </c>
      <c r="C3" s="24">
        <v>2023</v>
      </c>
      <c r="D3" s="25" t="s">
        <v>188</v>
      </c>
      <c r="E3" s="26" t="s">
        <v>189</v>
      </c>
    </row>
    <row r="4" spans="1:5" s="24" customFormat="1" x14ac:dyDescent="0.3">
      <c r="A4" s="24">
        <v>3</v>
      </c>
      <c r="B4" s="24" t="s">
        <v>190</v>
      </c>
      <c r="C4" s="24">
        <v>2023</v>
      </c>
      <c r="D4" s="24" t="s">
        <v>191</v>
      </c>
      <c r="E4" s="26" t="s">
        <v>192</v>
      </c>
    </row>
    <row r="5" spans="1:5" s="24" customFormat="1" x14ac:dyDescent="0.3">
      <c r="A5" s="24">
        <v>4</v>
      </c>
      <c r="B5" s="27" t="s">
        <v>193</v>
      </c>
      <c r="C5" s="24">
        <v>2020</v>
      </c>
      <c r="D5" s="24" t="s">
        <v>194</v>
      </c>
      <c r="E5" s="24" t="s">
        <v>195</v>
      </c>
    </row>
    <row r="6" spans="1:5" s="24" customFormat="1" x14ac:dyDescent="0.3">
      <c r="A6" s="24">
        <v>5</v>
      </c>
      <c r="B6" s="24" t="s">
        <v>196</v>
      </c>
      <c r="C6" s="24">
        <v>2022</v>
      </c>
      <c r="D6" s="24" t="s">
        <v>197</v>
      </c>
      <c r="E6" s="26" t="s">
        <v>198</v>
      </c>
    </row>
    <row r="7" spans="1:5" s="24" customFormat="1" x14ac:dyDescent="0.3">
      <c r="A7" s="24">
        <v>6</v>
      </c>
      <c r="B7" s="24" t="s">
        <v>199</v>
      </c>
      <c r="C7" s="24">
        <v>2024</v>
      </c>
      <c r="D7" s="24" t="s">
        <v>200</v>
      </c>
      <c r="E7" s="26" t="s">
        <v>201</v>
      </c>
    </row>
    <row r="8" spans="1:5" s="24" customFormat="1" x14ac:dyDescent="0.3">
      <c r="A8" s="24">
        <v>7</v>
      </c>
      <c r="B8" s="24" t="s">
        <v>202</v>
      </c>
      <c r="C8" s="24">
        <v>2022</v>
      </c>
      <c r="D8" s="25" t="s">
        <v>203</v>
      </c>
      <c r="E8" s="26" t="s">
        <v>204</v>
      </c>
    </row>
    <row r="9" spans="1:5" s="24" customFormat="1" x14ac:dyDescent="0.3">
      <c r="A9" s="24">
        <v>8</v>
      </c>
      <c r="B9" s="24" t="s">
        <v>205</v>
      </c>
      <c r="C9" s="24">
        <v>2022</v>
      </c>
      <c r="D9" s="24" t="s">
        <v>206</v>
      </c>
      <c r="E9" s="26" t="s">
        <v>207</v>
      </c>
    </row>
    <row r="10" spans="1:5" s="24" customFormat="1" x14ac:dyDescent="0.3">
      <c r="A10" s="24">
        <v>9</v>
      </c>
      <c r="B10" s="24" t="s">
        <v>208</v>
      </c>
      <c r="C10" s="24">
        <v>2021</v>
      </c>
      <c r="D10" s="24" t="s">
        <v>209</v>
      </c>
      <c r="E10" s="26" t="s">
        <v>210</v>
      </c>
    </row>
    <row r="11" spans="1:5" s="24" customFormat="1" x14ac:dyDescent="0.3">
      <c r="A11" s="24">
        <v>10</v>
      </c>
      <c r="B11" s="24" t="s">
        <v>211</v>
      </c>
      <c r="C11" s="24">
        <v>2018</v>
      </c>
      <c r="D11" s="24" t="s">
        <v>212</v>
      </c>
      <c r="E11" s="26" t="s">
        <v>213</v>
      </c>
    </row>
    <row r="12" spans="1:5" s="24" customFormat="1" x14ac:dyDescent="0.3">
      <c r="A12" s="24">
        <v>11</v>
      </c>
      <c r="B12" s="24" t="s">
        <v>214</v>
      </c>
      <c r="C12" s="24">
        <v>2006</v>
      </c>
      <c r="D12" s="24" t="s">
        <v>215</v>
      </c>
      <c r="E12" s="24" t="s">
        <v>216</v>
      </c>
    </row>
    <row r="13" spans="1:5" s="24" customFormat="1" x14ac:dyDescent="0.3">
      <c r="A13" s="24">
        <v>12</v>
      </c>
      <c r="B13" s="24" t="s">
        <v>217</v>
      </c>
      <c r="C13" s="24">
        <v>2023</v>
      </c>
      <c r="D13" s="24" t="s">
        <v>218</v>
      </c>
      <c r="E13" s="26" t="s">
        <v>219</v>
      </c>
    </row>
    <row r="14" spans="1:5" s="24" customFormat="1" x14ac:dyDescent="0.3">
      <c r="A14" s="24">
        <v>13</v>
      </c>
      <c r="B14" s="24" t="s">
        <v>220</v>
      </c>
      <c r="C14" s="24">
        <v>2024</v>
      </c>
      <c r="D14" s="24" t="s">
        <v>221</v>
      </c>
      <c r="E14" s="26" t="s">
        <v>222</v>
      </c>
    </row>
    <row r="15" spans="1:5" s="24" customFormat="1" x14ac:dyDescent="0.3">
      <c r="A15" s="24">
        <v>14</v>
      </c>
      <c r="B15" s="24" t="s">
        <v>223</v>
      </c>
      <c r="C15" s="24">
        <v>2024</v>
      </c>
      <c r="D15" s="24" t="s">
        <v>224</v>
      </c>
      <c r="E15" s="26" t="s">
        <v>225</v>
      </c>
    </row>
    <row r="16" spans="1:5" s="24" customFormat="1" x14ac:dyDescent="0.3">
      <c r="A16" s="24">
        <v>15</v>
      </c>
      <c r="B16" s="24" t="s">
        <v>226</v>
      </c>
      <c r="C16" s="24">
        <v>2023</v>
      </c>
      <c r="D16" s="24" t="s">
        <v>227</v>
      </c>
      <c r="E16" s="26" t="s">
        <v>228</v>
      </c>
    </row>
    <row r="17" spans="1:5" s="24" customFormat="1" x14ac:dyDescent="0.3">
      <c r="A17" s="24">
        <v>16</v>
      </c>
      <c r="B17" s="24" t="s">
        <v>220</v>
      </c>
      <c r="C17" s="24">
        <v>2023</v>
      </c>
      <c r="D17" s="24" t="s">
        <v>229</v>
      </c>
      <c r="E17" s="26" t="s">
        <v>230</v>
      </c>
    </row>
    <row r="18" spans="1:5" s="24" customFormat="1" x14ac:dyDescent="0.3">
      <c r="A18" s="24">
        <v>17</v>
      </c>
      <c r="B18" s="24" t="s">
        <v>231</v>
      </c>
      <c r="C18" s="24">
        <v>2022</v>
      </c>
      <c r="D18" s="24" t="s">
        <v>232</v>
      </c>
      <c r="E18" s="26" t="s">
        <v>233</v>
      </c>
    </row>
    <row r="19" spans="1:5" s="24" customFormat="1" x14ac:dyDescent="0.3">
      <c r="A19" s="24">
        <v>18</v>
      </c>
      <c r="B19" s="24" t="s">
        <v>234</v>
      </c>
      <c r="C19" s="24">
        <v>2018</v>
      </c>
      <c r="D19" s="24" t="s">
        <v>235</v>
      </c>
      <c r="E19" s="24" t="s">
        <v>236</v>
      </c>
    </row>
    <row r="20" spans="1:5" s="24" customFormat="1" x14ac:dyDescent="0.3">
      <c r="A20" s="24">
        <v>19</v>
      </c>
      <c r="B20" s="24" t="s">
        <v>237</v>
      </c>
      <c r="C20" s="24">
        <v>2023</v>
      </c>
      <c r="D20" s="24" t="s">
        <v>238</v>
      </c>
      <c r="E20" s="26" t="s">
        <v>239</v>
      </c>
    </row>
    <row r="21" spans="1:5" s="24" customFormat="1" x14ac:dyDescent="0.3">
      <c r="A21" s="24">
        <v>20</v>
      </c>
      <c r="B21" s="24" t="s">
        <v>240</v>
      </c>
      <c r="C21" s="24">
        <v>2018</v>
      </c>
      <c r="D21" s="24" t="s">
        <v>241</v>
      </c>
      <c r="E21" s="26" t="s">
        <v>242</v>
      </c>
    </row>
    <row r="22" spans="1:5" s="24" customFormat="1" x14ac:dyDescent="0.3">
      <c r="A22" s="24">
        <v>21</v>
      </c>
      <c r="B22" s="24" t="s">
        <v>243</v>
      </c>
      <c r="C22" s="24">
        <v>2017</v>
      </c>
      <c r="D22" s="24" t="s">
        <v>244</v>
      </c>
      <c r="E22" s="26" t="s">
        <v>245</v>
      </c>
    </row>
  </sheetData>
  <hyperlinks>
    <hyperlink ref="E3" r:id="rId1" xr:uid="{B44BC8F8-1F61-4678-8190-764432975DE1}"/>
    <hyperlink ref="E4" r:id="rId2" xr:uid="{EB89FCF2-50A1-4950-8740-468C3528380D}"/>
    <hyperlink ref="E6" r:id="rId3" xr:uid="{0CCDA9FA-0B7C-4BD5-9CF4-6C4061ED4653}"/>
    <hyperlink ref="E7" r:id="rId4" xr:uid="{32ED9BD0-305A-49AB-8330-AD99B590D4D0}"/>
    <hyperlink ref="E8" r:id="rId5" xr:uid="{C598124E-5335-466F-ACBC-3D1D3FE8A5B9}"/>
    <hyperlink ref="E9" r:id="rId6" xr:uid="{5FB4E5A6-B31B-4D62-8EBA-AE585E1A7D98}"/>
    <hyperlink ref="E10" r:id="rId7" xr:uid="{5179F810-34CA-4BED-B85A-4B65739B0961}"/>
    <hyperlink ref="E11" r:id="rId8" xr:uid="{D96E9BA8-38D4-4040-883E-0996773A2BC7}"/>
    <hyperlink ref="E13" r:id="rId9" xr:uid="{E173A4A5-6AAC-4E32-94A9-B990CE7BE46B}"/>
    <hyperlink ref="E14" r:id="rId10" xr:uid="{5F145BE7-2059-4071-AC56-53AFEEC635BF}"/>
    <hyperlink ref="E15" r:id="rId11" xr:uid="{9AB74A60-0ECF-41FE-9B09-4566433CD1F8}"/>
    <hyperlink ref="E16" r:id="rId12" xr:uid="{013F429B-A2FE-44EA-9775-FCBAB59006D8}"/>
    <hyperlink ref="E17" r:id="rId13" xr:uid="{C851AD4A-C858-4175-A0E0-5F1932364351}"/>
    <hyperlink ref="E18" r:id="rId14" xr:uid="{6596776C-3D53-4004-ADF8-B6D643DDC049}"/>
    <hyperlink ref="E20" r:id="rId15" xr:uid="{C5EE2A2D-3D6C-4AC8-A365-A522F8B3785F}"/>
    <hyperlink ref="E21" r:id="rId16" xr:uid="{805374C1-4E64-4CBA-8017-158AD769E4CC}"/>
    <hyperlink ref="E22" r:id="rId17" xr:uid="{7720F4C8-F783-415F-AF94-6CF3E1A899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FEE1-7D4F-4C98-9B73-51EE72426420}">
  <dimension ref="A1:B7"/>
  <sheetViews>
    <sheetView workbookViewId="0">
      <selection activeCell="E27" sqref="E27"/>
    </sheetView>
  </sheetViews>
  <sheetFormatPr defaultColWidth="9.109375" defaultRowHeight="14.4" x14ac:dyDescent="0.3"/>
  <cols>
    <col min="1" max="1" width="12.44140625" style="10" bestFit="1" customWidth="1"/>
    <col min="2" max="2" width="45.44140625" style="10" bestFit="1" customWidth="1"/>
    <col min="3" max="16384" width="9.109375" style="10"/>
  </cols>
  <sheetData>
    <row r="1" spans="1:2" x14ac:dyDescent="0.3">
      <c r="A1" s="20" t="s">
        <v>246</v>
      </c>
    </row>
    <row r="2" spans="1:2" x14ac:dyDescent="0.3">
      <c r="A2" s="10" t="s">
        <v>43</v>
      </c>
      <c r="B2" s="10" t="s">
        <v>247</v>
      </c>
    </row>
    <row r="3" spans="1:2" x14ac:dyDescent="0.3">
      <c r="A3" s="10" t="s">
        <v>45</v>
      </c>
      <c r="B3" s="10" t="s">
        <v>248</v>
      </c>
    </row>
    <row r="4" spans="1:2" x14ac:dyDescent="0.3">
      <c r="A4" s="10" t="s">
        <v>160</v>
      </c>
      <c r="B4" s="10" t="s">
        <v>249</v>
      </c>
    </row>
    <row r="5" spans="1:2" x14ac:dyDescent="0.3">
      <c r="A5" s="10" t="s">
        <v>162</v>
      </c>
      <c r="B5" s="10" t="s">
        <v>250</v>
      </c>
    </row>
    <row r="6" spans="1:2" x14ac:dyDescent="0.3">
      <c r="A6" s="10" t="s">
        <v>52</v>
      </c>
      <c r="B6" t="s">
        <v>251</v>
      </c>
    </row>
    <row r="7" spans="1:2" x14ac:dyDescent="0.3">
      <c r="A7" s="10" t="s">
        <v>54</v>
      </c>
      <c r="B7" s="10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Polymer_info</vt:lpstr>
      <vt:lpstr>Ecotoxicity_Inputs</vt:lpstr>
      <vt:lpstr>Ecotoxicity_Outputs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Κωνσταντίνα _</cp:lastModifiedBy>
  <cp:revision/>
  <dcterms:created xsi:type="dcterms:W3CDTF">2025-06-17T08:13:11Z</dcterms:created>
  <dcterms:modified xsi:type="dcterms:W3CDTF">2026-07-22T12:06:50Z</dcterms:modified>
  <cp:category/>
  <cp:contentStatus/>
</cp:coreProperties>
</file>